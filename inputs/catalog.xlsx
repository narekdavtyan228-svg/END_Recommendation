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егенда" sheetId="1" state="visible" r:id="rId3"/>
    <sheet name="Сводка" sheetId="2" state="visible" r:id="rId4"/>
    <sheet name="Синтаксис" sheetId="3" state="visible" r:id="rId5"/>
    <sheet name="Неприменимость" sheetId="4" state="visible" r:id="rId6"/>
    <sheet name="Пункты по категориям" sheetId="5" state="visible" r:id="rId7"/>
    <sheet name="Правила категорий" sheetId="6" state="visible" r:id="rId8"/>
    <sheet name="Оценка рисков — правила" sheetId="7" state="visible" r:id="rId9"/>
    <sheet name="Опасности по категориям" sheetId="8" state="visible" r:id="rId10"/>
    <sheet name="Разметка рисков в БД" sheetId="9" state="visible" r:id="rId11"/>
    <sheet name="Факторы" sheetId="10" state="visible" r:id="rId12"/>
    <sheet name="Словарь маркеров" sheetId="11" state="visible" r:id="rId13"/>
    <sheet name="Стоп-словарь" sheetId="12" state="visible" r:id="rId14"/>
    <sheet name="Параметры" sheetId="13" state="visible" r:id="rId15"/>
    <sheet name="Источники" sheetId="14" state="visible" r:id="rId16"/>
  </sheets>
  <definedNames>
    <definedName function="false" hidden="true" localSheetId="13" name="_xlnm._FilterDatabase" vbProcedure="false">Источники!$A$1:$C$8</definedName>
    <definedName function="false" hidden="true" localSheetId="3" name="_xlnm._FilterDatabase" vbProcedure="false">Неприменимость!$A$1:$H$15</definedName>
    <definedName function="false" hidden="true" localSheetId="7" name="_xlnm._FilterDatabase" vbProcedure="false">'Опасности по категориям'!$A$1:$J$27</definedName>
    <definedName function="false" hidden="true" localSheetId="6" name="_xlnm._FilterDatabase" vbProcedure="false">'Оценка рисков — правила'!$A$1:$G$26</definedName>
    <definedName function="false" hidden="true" localSheetId="12" name="_xlnm._FilterDatabase" vbProcedure="false">Параметры!$A$1:$E$15</definedName>
    <definedName function="false" hidden="true" localSheetId="5" name="_xlnm._FilterDatabase" vbProcedure="false">'Правила категорий'!$A$1:$F$42</definedName>
    <definedName function="false" hidden="true" localSheetId="4" name="_xlnm._FilterDatabase" vbProcedure="false">'Пункты по категориям'!$A$1:$I$71</definedName>
    <definedName function="false" hidden="true" localSheetId="8" name="_xlnm._FilterDatabase" vbProcedure="false">'Разметка рисков в БД'!$A$1:$D$15</definedName>
    <definedName function="false" hidden="true" localSheetId="2" name="_xlnm._FilterDatabase" vbProcedure="false">Синтаксис!$A$1:$H$18</definedName>
    <definedName function="false" hidden="true" localSheetId="10" name="_xlnm._FilterDatabase" vbProcedure="false">'Словарь маркеров'!$A$1:$D$11</definedName>
    <definedName function="false" hidden="true" localSheetId="11" name="_xlnm._FilterDatabase" vbProcedure="false">'Стоп-словарь'!$A$1:$C$4</definedName>
    <definedName function="false" hidden="true" localSheetId="9" name="_xlnm._FilterDatabase" vbProcedure="false">Факторы!$A$1:$E$28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<sst xmlns="http://schemas.openxmlformats.org/spreadsheetml/2006/main" count="1925" uniqueCount="994">
  <si>
    <t xml:space="preserve">Каталог правил ИИ-проверки раздела 2 НД — АО «Озенмунайгаз»</t>
  </si>
  <si>
    <t xml:space="preserve">Категории: Земляные работы, Грузоподъемные работы, Работа в замкнутом пространстве, Другие работы повышенной опасности, Огневые работы, Газоопасные работы, Работы на высоте</t>
  </si>
  <si>
    <t xml:space="preserve">Порядок применения</t>
  </si>
  <si>
    <t xml:space="preserve">1) Синтаксис (S01–S17). 2) Неприменимость (N01–N14). 3) Матрица пунктов по категории. 4) Правила категорий. 5) Оценка рисков (RA01–RA23) по справочнику опасностей и мер. 6) LLM — только для того, что код не решил.</t>
  </si>
  <si>
    <t xml:space="preserve">Листы</t>
  </si>
  <si>
    <t xml:space="preserve">«Синтаксис», «Неприменимость», «Пункты по категориям» (матрица 7 × 10), «Правила категорий», «Риски — обязательные», «Факторы», «Словарь маркеров», «Стоп-словарь», «Параметры», «Источники», «Сводка».</t>
  </si>
  <si>
    <t xml:space="preserve">Статусы пунктов</t>
  </si>
  <si>
    <t xml:space="preserve">Ядро — обязателен всегда, прочерк недопустим (N06). Условное — обязателен при факторе = Да; при факторе = Нет — прочерк, а выбранная запись даёт N02; при неизвестном факторе — вопрос (N14).</t>
  </si>
  <si>
    <t xml:space="preserve">Критичность</t>
  </si>
  <si>
    <t xml:space="preserve">Критично — блокирует отправку на согласование. Существенно — принять или отклонить с комментарием. Рекомендация — информационно. Вопрос — ответ сохраняется как значение фактора.</t>
  </si>
  <si>
    <t xml:space="preserve">Связь со справочниками БД</t>
  </si>
  <si>
    <t xml:space="preserve">Правила ссылаются на пункт 5.x и ключевые элементы, а не на ID записей. Для каждой записи справочника ОМГ в БД нужно проставить: категорию, пункт, тип (Ядро/Условное/Опциональное/Шаблон), факторы и ключевые элементы — по образцу файла разметки для ГПР и высоты.</t>
  </si>
  <si>
    <t xml:space="preserve">Допущение</t>
  </si>
  <si>
    <t xml:space="preserve">Форма раздела 5 (пп. 5.1–5.10 и их подсказки) одинакова для всех категорий РПО, как на экране ОМГ. Если у категории своя форма, матрицу нужно пересобрать.</t>
  </si>
  <si>
    <t xml:space="preserve">Статус оснований</t>
  </si>
  <si>
    <t xml:space="preserve">«Сверено» — пункт прочитан в тексте НПА РК. «Сверить» / «наполнить» / «решение ОМГ» — требуется подтверждение HSE-эксперта до включения критичности.</t>
  </si>
  <si>
    <t xml:space="preserve">Категория</t>
  </si>
  <si>
    <t xml:space="preserve">Ядро</t>
  </si>
  <si>
    <t xml:space="preserve">Условные</t>
  </si>
  <si>
    <t xml:space="preserve">Правил категории</t>
  </si>
  <si>
    <t xml:space="preserve">Обязательных опасностей</t>
  </si>
  <si>
    <t xml:space="preserve">Земляные работы</t>
  </si>
  <si>
    <t xml:space="preserve">Грузоподъемные работы</t>
  </si>
  <si>
    <t xml:space="preserve">Работа в замкнутом пространстве</t>
  </si>
  <si>
    <t xml:space="preserve">Другие работы повышенной опасности</t>
  </si>
  <si>
    <t xml:space="preserve">Огневые работы</t>
  </si>
  <si>
    <t xml:space="preserve">Газоопасные работы</t>
  </si>
  <si>
    <t xml:space="preserve">Работы на высоте</t>
  </si>
  <si>
    <t xml:space="preserve">Правил синтаксиса (все категории)</t>
  </si>
  <si>
    <t xml:space="preserve">Правил неприменимости (все категории)</t>
  </si>
  <si>
    <t xml:space="preserve">Правил оценки рисков (все категории)</t>
  </si>
  <si>
    <t xml:space="preserve">ID</t>
  </si>
  <si>
    <t xml:space="preserve">Проверка</t>
  </si>
  <si>
    <t xml:space="preserve">Описание</t>
  </si>
  <si>
    <t xml:space="preserve">Алгоритм / regex</t>
  </si>
  <si>
    <t xml:space="preserve">Сообщение пользователю</t>
  </si>
  <si>
    <t xml:space="preserve">Основание</t>
  </si>
  <si>
    <t xml:space="preserve">Примечание</t>
  </si>
  <si>
    <t xml:space="preserve">S01</t>
  </si>
  <si>
    <t xml:space="preserve">Пустой пункт</t>
  </si>
  <si>
    <t xml:space="preserve">Значение пустое или только пробелы (прочерк не поставлен)</t>
  </si>
  <si>
    <t xml:space="preserve">trim(value)==''</t>
  </si>
  <si>
    <t xml:space="preserve">Критично</t>
  </si>
  <si>
    <t xml:space="preserve">Пункт 5.x не заполнен. Если мероприятие не требуется — поставьте прочерк «—», иначе опишите мероприятие.</t>
  </si>
  <si>
    <t xml:space="preserve">№ 344: в графах, не требующих заполнения, ставится прочерк</t>
  </si>
  <si>
    <t xml:space="preserve">S02</t>
  </si>
  <si>
    <t xml:space="preserve">Заглушка</t>
  </si>
  <si>
    <t xml:space="preserve">Тестовое или бессмысленное значение</t>
  </si>
  <si>
    <t xml:space="preserve">regex (без учёта регистра, после trim): ^(test\w*|тест\w*|asdf\w*|qwe\w*|йцук\w*|xxx+|ххх+|ааа+|zzz+|1+|123\w*|0+|\.+|\?+|!+|,+|\++|=+|_+|ok|ок|да|нет\s*данных|не\s*знаю|todo|tbd|\*+)$ ; либо один символ, повторённый ≥3 раз (^(.)\1{2,}$)</t>
  </si>
  <si>
    <t xml:space="preserve">В пункте 5.x указано тестовое значение «{value}». Опишите мероприятие или поставьте прочерк, если оно не требуется.</t>
  </si>
  <si>
    <t xml:space="preserve">№ 344: заполнение по подстрочному тексту</t>
  </si>
  <si>
    <t xml:space="preserve">S03</t>
  </si>
  <si>
    <t xml:space="preserve">Повтор подсказки поля</t>
  </si>
  <si>
    <t xml:space="preserve">Текст совпадает с подсказкой (подстрочным текстом) пункта</t>
  </si>
  <si>
    <t xml:space="preserve">normalize(value)==normalize(hint) или value является подстрокой hint длиной ≥ 70% hint</t>
  </si>
  <si>
    <t xml:space="preserve">В пункт 5.x скопирована подсказка поля. Укажите конкретное мероприятие.</t>
  </si>
  <si>
    <t xml:space="preserve">№ 344</t>
  </si>
  <si>
    <t xml:space="preserve">S04</t>
  </si>
  <si>
    <t xml:space="preserve">Слишком короткий текст</t>
  </si>
  <si>
    <t xml:space="preserve">Менее 3 значимых слов (без предлогов и союзов) и не прочерк</t>
  </si>
  <si>
    <t xml:space="preserve">count(words, len≥3, not in stopwords) &lt; 3</t>
  </si>
  <si>
    <t xml:space="preserve">Существенно</t>
  </si>
  <si>
    <t xml:space="preserve">Мероприятие в пункте 5.x описано слишком кратко. Укажите, что сделать, где и кем.</t>
  </si>
  <si>
    <t xml:space="preserve">Практика заполнения НД</t>
  </si>
  <si>
    <t xml:space="preserve">Заменяет правило «менее 5 символов»</t>
  </si>
  <si>
    <t xml:space="preserve">S05</t>
  </si>
  <si>
    <t xml:space="preserve">Нет букв / только цифры и символы</t>
  </si>
  <si>
    <t xml:space="preserve">Доля букв (кириллица, казахские, латиница) &lt; 50%</t>
  </si>
  <si>
    <t xml:space="preserve">letters/len &lt; 0.5</t>
  </si>
  <si>
    <t xml:space="preserve">Пункт 5.x не содержит текста мероприятия.</t>
  </si>
  <si>
    <t xml:space="preserve">S06</t>
  </si>
  <si>
    <t xml:space="preserve">Незаполненный шаблон</t>
  </si>
  <si>
    <t xml:space="preserve">Остались пропуски шаблона справочника</t>
  </si>
  <si>
    <t xml:space="preserve">regex: _{2,}|\[\s*\]|\{\s*\}|&lt;\s*&gt;|\.{3,}\s*$|…\s*$</t>
  </si>
  <si>
    <t xml:space="preserve">В шаблоне пункта 5.x не заполнены значения («___»). Укажите: {template_fields}.</t>
  </si>
  <si>
    <t xml:space="preserve">Разметка справочника (тип «Шаблон»)</t>
  </si>
  <si>
    <t xml:space="preserve">S07</t>
  </si>
  <si>
    <t xml:space="preserve">Артефакты склейки справочника</t>
  </si>
  <si>
    <t xml:space="preserve">Двойная пунктуация и обрывки при склейке записей</t>
  </si>
  <si>
    <t xml:space="preserve">regex: \.;|;;|;\s*;|^\s*[;,.]|^\s*\S+;\s*[А-ЯЁ] (обрывок одного слова в начале, напр. «маршрут; Маршруты…»)|\s{2,}</t>
  </si>
  <si>
    <t xml:space="preserve">Рекомендация</t>
  </si>
  <si>
    <t xml:space="preserve">Исправлена пунктуация в пункте 5.x.</t>
  </si>
  <si>
    <t xml:space="preserve">—</t>
  </si>
  <si>
    <t xml:space="preserve">Автоисправление с показом пользователю</t>
  </si>
  <si>
    <t xml:space="preserve">S08</t>
  </si>
  <si>
    <t xml:space="preserve">Незакрытые скобки и кавычки</t>
  </si>
  <si>
    <t xml:space="preserve">Непарные ( ) « » " "</t>
  </si>
  <si>
    <t xml:space="preserve">count('(')!=count(')') или count('«')!=count('»') или нечётное число '"'</t>
  </si>
  <si>
    <t xml:space="preserve">Проверьте скобки и кавычки в пункте 5.x.</t>
  </si>
  <si>
    <t xml:space="preserve">S09</t>
  </si>
  <si>
    <t xml:space="preserve">Смешение языков</t>
  </si>
  <si>
    <t xml:space="preserve">Казахские буквы в русском тексте (или наоборот при языке KK)</t>
  </si>
  <si>
    <t xml:space="preserve">lang(ui)=ru и regex [әғқңөұүһіӘҒҚҢӨҰҮҺІ] найден; для kk — доля русских слов из словаря &gt; 50% (кроме терминов)</t>
  </si>
  <si>
    <t xml:space="preserve">В русском тексте пункта 5.x есть фрагмент на казахском языке — уберите или вынесите в казахскую версию.</t>
  </si>
  <si>
    <t xml:space="preserve">Пример из справочника: «(ауысым алдындағы медтексеру)»</t>
  </si>
  <si>
    <t xml:space="preserve">S10</t>
  </si>
  <si>
    <t xml:space="preserve">Латиница вместо кириллицы</t>
  </si>
  <si>
    <t xml:space="preserve">Латинские буквы-двойники внутри кириллических слов</t>
  </si>
  <si>
    <t xml:space="preserve">regex: [А-Яа-яЁё][AaBCcEeHKMOoPpTXxy]|[AaBCcEeHKMOoPpTXxy][А-Яа-яЁё]</t>
  </si>
  <si>
    <t xml:space="preserve">Исправлены символы в пункте 5.x.</t>
  </si>
  <si>
    <t xml:space="preserve">Автоисправление; ломает поиск и сравнение со справочником</t>
  </si>
  <si>
    <t xml:space="preserve">S11</t>
  </si>
  <si>
    <t xml:space="preserve">Дубль мероприятия</t>
  </si>
  <si>
    <t xml:space="preserve">Одинаковый текст в одном пункте или в разных пунктах</t>
  </si>
  <si>
    <t xml:space="preserve">normalize(a)==normalize(b) или similarity ≥ 0.95</t>
  </si>
  <si>
    <t xml:space="preserve">Мероприятие «{short}» повторяется в пунктах {p1} и {p2}. Оставьте в одном, подходящем по смыслу.</t>
  </si>
  <si>
    <t xml:space="preserve">Разметка справочника</t>
  </si>
  <si>
    <t xml:space="preserve">S12</t>
  </si>
  <si>
    <t xml:space="preserve">Повтор слова</t>
  </si>
  <si>
    <t xml:space="preserve">Одно слово подряд дважды</t>
  </si>
  <si>
    <t xml:space="preserve">regex: \b(\w+)\s+\1\b (без учёта регистра)</t>
  </si>
  <si>
    <t xml:space="preserve">Уберите повтор слова в пункте 5.x.</t>
  </si>
  <si>
    <t xml:space="preserve">Автоисправление</t>
  </si>
  <si>
    <t xml:space="preserve">S13</t>
  </si>
  <si>
    <t xml:space="preserve">Нормализация прочерка</t>
  </si>
  <si>
    <t xml:space="preserve">Варианты прочерка приводятся к «—»</t>
  </si>
  <si>
    <t xml:space="preserve">value in {'-','–','—','--','н/п','нп','не применимо','не требуется','не предусмотрено'} → '—'; «нет» без обоснования → need_input</t>
  </si>
  <si>
    <t xml:space="preserve">Служебное правило, результат используется правилами N07, N08</t>
  </si>
  <si>
    <t xml:space="preserve">S14</t>
  </si>
  <si>
    <t xml:space="preserve">Число без единиц</t>
  </si>
  <si>
    <t xml:space="preserve">Числовое значение без единицы измерения там, где она обязательна</t>
  </si>
  <si>
    <t xml:space="preserve">regex: \b\d+([.,]\d+)?\b не followed by (м|мм|см|км|м/с|°C|°|кг|т|кВ|В|%|мг/м3|ppm|мин|ч|лк|шт|чел) в контексте слов «расстояние, высота, глубина, радиус, скорость, масса, напряжение, концентрация»</t>
  </si>
  <si>
    <t xml:space="preserve">Укажите единицы измерения для «{number}» в пункте 5.x.</t>
  </si>
  <si>
    <t xml:space="preserve">S15</t>
  </si>
  <si>
    <t xml:space="preserve">Недопустимые символы</t>
  </si>
  <si>
    <t xml:space="preserve">Emoji, HTML-теги, управляющие символы</t>
  </si>
  <si>
    <t xml:space="preserve">regex: &lt;[^&gt;]+&gt;|[\u0000-\u0008\u000B\u000C\u000E-\u001F]|[\U0001F300-\U0001FAFF]</t>
  </si>
  <si>
    <t xml:space="preserve">Удалены недопустимые символы.</t>
  </si>
  <si>
    <t xml:space="preserve">S16</t>
  </si>
  <si>
    <t xml:space="preserve">Слишком длинная запись</t>
  </si>
  <si>
    <t xml:space="preserve">Одна запись &gt; 1500 символов</t>
  </si>
  <si>
    <t xml:space="preserve">len(value) &gt; 1500</t>
  </si>
  <si>
    <t xml:space="preserve">Запись в пункте 5.x слишком длинная — разбейте на отдельные мероприятия.</t>
  </si>
  <si>
    <t xml:space="preserve">Порог — параметр</t>
  </si>
  <si>
    <t xml:space="preserve">S17</t>
  </si>
  <si>
    <t xml:space="preserve">Число вне здравого диапазона</t>
  </si>
  <si>
    <t xml:space="preserve">Известный параметр с неправдоподобным значением</t>
  </si>
  <si>
    <t xml:space="preserve">ветер &gt; 60 м/с; угол &gt; 90°; высота &gt; 500 м; глубина &gt; 30 м; расстояние &gt; 10000 м; температура вне −60…+60 °C; концентрация &gt; 100%</t>
  </si>
  <si>
    <t xml:space="preserve">Проверьте значение «{number}» в пункте 5.x.</t>
  </si>
  <si>
    <t xml:space="preserve">Как определяется</t>
  </si>
  <si>
    <t xml:space="preserve">Пример</t>
  </si>
  <si>
    <t xml:space="preserve">N01</t>
  </si>
  <si>
    <t xml:space="preserve">Маркеры другой категории</t>
  </si>
  <si>
    <t xml:space="preserve">В тексте есть маркеры группы, не разрешённой для категории и не включённой фактором</t>
  </si>
  <si>
    <t xml:space="preserve">Код: словарь маркеров (лист «Словарь маркеров»); LLM подтверждает при спорном случае</t>
  </si>
  <si>
    <t xml:space="preserve">Мероприятие «{short}» относится к {group} и, вероятно, не применимо к работе «{category}». Уточните или удалите.</t>
  </si>
  <si>
    <t xml:space="preserve">Пример: краги сварщика в ГПР; тренога над горловиной ёмкости при предупреждении машинистов кранов</t>
  </si>
  <si>
    <t xml:space="preserve">N02</t>
  </si>
  <si>
    <t xml:space="preserve">Условная запись при факторе = Нет</t>
  </si>
  <si>
    <t xml:space="preserve">Выбрана запись справочника, условие применимости которой не выполняется</t>
  </si>
  <si>
    <t xml:space="preserve">Код: catalog.applies_when ∩ factors</t>
  </si>
  <si>
    <t xml:space="preserve">Мероприятие применимо при условии «{factor}», а для этой работы оно не отмечено. Уточните или удалите.</t>
  </si>
  <si>
    <t xml:space="preserve">N03</t>
  </si>
  <si>
    <t xml:space="preserve">Сезонная неприменимость</t>
  </si>
  <si>
    <t xml:space="preserve">Меры для низких температур, обледенения, снега при датах работ в тёплый период — и наоборот (меры от жары зимой)</t>
  </si>
  <si>
    <t xml:space="preserve">Код: даты работ vs параметр «тёплый период ОМГ»; маркеры: мороз, обледенен, гололёд, снег, −20, −30, −40, ниже -N °C / жара, тепловой удар, +40</t>
  </si>
  <si>
    <t xml:space="preserve">Мероприятие для {season} не соответствует датам работ {dates}.</t>
  </si>
  <si>
    <t xml:space="preserve">Параметр организации</t>
  </si>
  <si>
    <t xml:space="preserve">Не критично: лишняя мера не опасна, но засоряет НД</t>
  </si>
  <si>
    <t xml:space="preserve">N04</t>
  </si>
  <si>
    <t xml:space="preserve">Объект отсутствует в организации</t>
  </si>
  <si>
    <t xml:space="preserve">Упоминается объект, которого нет в профиле организации/подразделения (ж/д пути в ОМГ, мостовой кран на промысле)</t>
  </si>
  <si>
    <t xml:space="preserve">Код: профиль подразделения (objects, F10 и т.п.)</t>
  </si>
  <si>
    <t xml:space="preserve">В профиле подразделения нет объекта «{object}». Подтвердите применимость мероприятия.</t>
  </si>
  <si>
    <t xml:space="preserve">Профиль ОМГ</t>
  </si>
  <si>
    <t xml:space="preserve">N05</t>
  </si>
  <si>
    <t xml:space="preserve">Мероприятие не в своём пункте</t>
  </si>
  <si>
    <t xml:space="preserve">Содержание относится к другому пункту формы (газоанализ в 5.3, установка крана в 5.1)</t>
  </si>
  <si>
    <t xml:space="preserve">Код: классификатор пунктов по маркерам; LLM при неоднозначности</t>
  </si>
  <si>
    <t xml:space="preserve">Мероприятие «{short}» по смыслу относится к пункту {target}. Перенесите.</t>
  </si>
  <si>
    <t xml:space="preserve">Форма НД (подстрочный текст)</t>
  </si>
  <si>
    <t xml:space="preserve">N06</t>
  </si>
  <si>
    <t xml:space="preserve">Прочерк в применимом пункте</t>
  </si>
  <si>
    <t xml:space="preserve">Прочерк или «не требуется» в пункте со статусом «Ядро» категории или при факторе = Да</t>
  </si>
  <si>
    <t xml:space="preserve">Код: матрица пунктов + факторы</t>
  </si>
  <si>
    <t xml:space="preserve">Пункт 5.x обязателен для работы «{category}» — прочерк недопустим. Укажите мероприятие.</t>
  </si>
  <si>
    <t xml:space="preserve">№ 344 + матрица категорий</t>
  </si>
  <si>
    <t xml:space="preserve">N07</t>
  </si>
  <si>
    <t xml:space="preserve">Обоснование неприменимости противоречит данным</t>
  </si>
  <si>
    <t xml:space="preserve">«Не требуется» с обоснованием, которое противоречит факторам, описанию или рискам</t>
  </si>
  <si>
    <t xml:space="preserve">LLM: извлечение утверждения из обоснования + код: сверка с factors/risks</t>
  </si>
  <si>
    <t xml:space="preserve">Обоснование «{reason}» противоречит {conflict}. Проверьте пункт 5.x.</t>
  </si>
  <si>
    <t xml:space="preserve">Непротиворечивость НД</t>
  </si>
  <si>
    <t xml:space="preserve">Пример: «работ на высоте нет», а в рисках — падение с высоты</t>
  </si>
  <si>
    <t xml:space="preserve">N08</t>
  </si>
  <si>
    <t xml:space="preserve">Оборудование не из описания работ</t>
  </si>
  <si>
    <t xml:space="preserve">Мероприятие относится к оборудованию, которого нет в описании работ и профиле</t>
  </si>
  <si>
    <t xml:space="preserve">LLM + код (словарь оборудования)</t>
  </si>
  <si>
    <t xml:space="preserve">Вопрос</t>
  </si>
  <si>
    <t xml:space="preserve">Мероприятие упоминает «{equipment}». Используется ли это оборудование в данной работе?</t>
  </si>
  <si>
    <t xml:space="preserve">need_input, не замечание</t>
  </si>
  <si>
    <t xml:space="preserve">N09</t>
  </si>
  <si>
    <t xml:space="preserve">Взаимоисключающие мероприятия</t>
  </si>
  <si>
    <t xml:space="preserve">Два мероприятия противоречат друг другу</t>
  </si>
  <si>
    <t xml:space="preserve">LLM (пары утверждений)</t>
  </si>
  <si>
    <t xml:space="preserve">Мероприятия «{a}» и «{b}» противоречат друг другу. Оставьте одно.</t>
  </si>
  <si>
    <t xml:space="preserve">Пример: «работы ведутся с земли» и «подъём в люльке автовышки»</t>
  </si>
  <si>
    <t xml:space="preserve">N10</t>
  </si>
  <si>
    <t xml:space="preserve">Не подготовительное мероприятие</t>
  </si>
  <si>
    <t xml:space="preserve">Действия при аварии или по окончании работ внесены в раздел 5</t>
  </si>
  <si>
    <t xml:space="preserve">Код: маркеры (при пожаре, при аварии, вызвать скорую, по окончании работ, сдать СИЗ, закрыть наряд)</t>
  </si>
  <si>
    <t xml:space="preserve">Действия «при аварии» / «по окончании работ» не относятся к подготовительным мероприятиям.</t>
  </si>
  <si>
    <t xml:space="preserve">N11</t>
  </si>
  <si>
    <t xml:space="preserve">Ссылка на нормы других государств</t>
  </si>
  <si>
    <t xml:space="preserve">Текст пользователя ссылается на НПА РФ и других государств</t>
  </si>
  <si>
    <t xml:space="preserve">Код: стоп-словарь (лист «Стоп-словарь»)</t>
  </si>
  <si>
    <t xml:space="preserve">В пункте 5.x указана ссылка на документ, не действующий в РК: «{ref}». Замените ссылкой на НПА РК или стандарт организации.</t>
  </si>
  <si>
    <t xml:space="preserve">Требование применения НПА РК</t>
  </si>
  <si>
    <t xml:space="preserve">N12</t>
  </si>
  <si>
    <t xml:space="preserve">Категория противоречит флагам раздела 2</t>
  </si>
  <si>
    <t xml:space="preserve">Флаг не соответствует категории</t>
  </si>
  <si>
    <t xml:space="preserve">Код: газоопасные и замкнутое пространство → «Контроль ГВС» = Да; земляные → «Согласование со смежными» = Да; огневые → поле «Противопожарная служба» по параметру ОМГ</t>
  </si>
  <si>
    <t xml:space="preserve">Для работы «{category}» флаг «{flag}» должен быть «{value}».</t>
  </si>
  <si>
    <t xml:space="preserve">№ 344 (земляные — согласование); № 355 п. 33 (анализ среды)</t>
  </si>
  <si>
    <t xml:space="preserve">N13</t>
  </si>
  <si>
    <t xml:space="preserve">Флаг противоречит тексту</t>
  </si>
  <si>
    <t xml:space="preserve">Флаг раздела 2 = Нет, а в тексте мероприятие по этому флагу (или наоборот)</t>
  </si>
  <si>
    <t xml:space="preserve">LLM (извлечение фактов) + код</t>
  </si>
  <si>
    <t xml:space="preserve">Флаг «{flag}» = «{value}», но в пункте {p} указано: «{short}». Приведите в соответствие.</t>
  </si>
  <si>
    <t xml:space="preserve">Пример: ГВС = Нет, а в 5.4 непрерывный газовый контроль</t>
  </si>
  <si>
    <t xml:space="preserve">N14</t>
  </si>
  <si>
    <t xml:space="preserve">Условие неизвестно</t>
  </si>
  <si>
    <t xml:space="preserve">Для условной записи фактор не определён</t>
  </si>
  <si>
    <t xml:space="preserve">Код</t>
  </si>
  <si>
    <t xml:space="preserve">Уточните: {factor_question}</t>
  </si>
  <si>
    <t xml:space="preserve">need_input</t>
  </si>
  <si>
    <t xml:space="preserve">Пункт</t>
  </si>
  <si>
    <t xml:space="preserve">Название пункта</t>
  </si>
  <si>
    <t xml:space="preserve">Статус</t>
  </si>
  <si>
    <t xml:space="preserve">Факторы (для условного)</t>
  </si>
  <si>
    <t xml:space="preserve">Минимальное содержание (ключевые элементы)</t>
  </si>
  <si>
    <t xml:space="preserve">Критичность при отсутствии</t>
  </si>
  <si>
    <t xml:space="preserve">ZR-5.1</t>
  </si>
  <si>
    <t xml:space="preserve">5.1</t>
  </si>
  <si>
    <t xml:space="preserve">Остановить</t>
  </si>
  <si>
    <t xml:space="preserve">Условное</t>
  </si>
  <si>
    <t xml:space="preserve">F12, F29</t>
  </si>
  <si>
    <t xml:space="preserve">Остановка техники и оборудования в зоне выемки</t>
  </si>
  <si>
    <t xml:space="preserve">Справочник ОМГ</t>
  </si>
  <si>
    <t xml:space="preserve">ZR-5.2</t>
  </si>
  <si>
    <t xml:space="preserve">5.2</t>
  </si>
  <si>
    <t xml:space="preserve">Отключить</t>
  </si>
  <si>
    <t xml:space="preserve">F27, F09</t>
  </si>
  <si>
    <t xml:space="preserve">Отключение кабелей в зоне работ; сброс давления в трубопроводах при вскрытии</t>
  </si>
  <si>
    <t xml:space="preserve">№ 344 (согласование с владельцами коммуникаций)</t>
  </si>
  <si>
    <t xml:space="preserve">ZR-5.3</t>
  </si>
  <si>
    <t xml:space="preserve">5.3</t>
  </si>
  <si>
    <t xml:space="preserve">Установить (заглушки, тупики, сигнальные лампы)</t>
  </si>
  <si>
    <t xml:space="preserve">F32</t>
  </si>
  <si>
    <t xml:space="preserve">Заглушки при вскрытии трубопровода; сигнальные лампы на ограждении</t>
  </si>
  <si>
    <t xml:space="preserve">ZR-5.4</t>
  </si>
  <si>
    <t xml:space="preserve">5.4</t>
  </si>
  <si>
    <t xml:space="preserve">Взять пробу воздушной среды</t>
  </si>
  <si>
    <t xml:space="preserve">F03</t>
  </si>
  <si>
    <t xml:space="preserve">Анализ воздуха в траншее, шурфе, котловане до спуска людей: место, время, прибор, результат</t>
  </si>
  <si>
    <t xml:space="preserve">№ 355, п. 33 (траншеи, шурфы)</t>
  </si>
  <si>
    <t xml:space="preserve">ZR-5.5</t>
  </si>
  <si>
    <t xml:space="preserve">5.5</t>
  </si>
  <si>
    <t xml:space="preserve">Оградить</t>
  </si>
  <si>
    <t xml:space="preserve">Ограждение выемки высотой не менее 1 м или защитное покрытие; знаки безопасности</t>
  </si>
  <si>
    <t xml:space="preserve">№ 355, пп. 28, 128</t>
  </si>
  <si>
    <t xml:space="preserve">ZR-5.6</t>
  </si>
  <si>
    <t xml:space="preserve">5.6</t>
  </si>
  <si>
    <t xml:space="preserve">Меры при работе на высоте и в колодцах</t>
  </si>
  <si>
    <t xml:space="preserve">F28</t>
  </si>
  <si>
    <t xml:space="preserve">При глубине ≥ 1,3 м: ограждение бровки, лестницы для спуска и выхода, крепление стенок или откосы</t>
  </si>
  <si>
    <t xml:space="preserve">№ 109, п. 2 (высота или глубина ≥ 1,3 м) — трактовку подтвердить; параметры крепления — СН РК 1.03-05-2011 (сверить)</t>
  </si>
  <si>
    <t xml:space="preserve">ZR-5.7</t>
  </si>
  <si>
    <t xml:space="preserve">5.7</t>
  </si>
  <si>
    <t xml:space="preserve">Предупредить</t>
  </si>
  <si>
    <t xml:space="preserve">Предупреждение/вызов представителей организаций — владельцев коммуникаций; согласование и схема коммуникаций</t>
  </si>
  <si>
    <t xml:space="preserve">№ 344 (все земляные работы согласуются, схемы прилагаются)</t>
  </si>
  <si>
    <t xml:space="preserve">ZR-5.8</t>
  </si>
  <si>
    <t xml:space="preserve">5.8</t>
  </si>
  <si>
    <t xml:space="preserve">Меры у железнодорожных путей</t>
  </si>
  <si>
    <t xml:space="preserve">F10</t>
  </si>
  <si>
    <t xml:space="preserve">Меры у ж/д путей</t>
  </si>
  <si>
    <t xml:space="preserve">ZR-5.9</t>
  </si>
  <si>
    <t xml:space="preserve">5.9</t>
  </si>
  <si>
    <t xml:space="preserve">Маршруты к месту работы</t>
  </si>
  <si>
    <t xml:space="preserve">Маршрут к месту работ; проезды техники; выходы из выемки</t>
  </si>
  <si>
    <t xml:space="preserve">№ 355, п. 30 (освещение подходов)</t>
  </si>
  <si>
    <t xml:space="preserve">ZR-5.10</t>
  </si>
  <si>
    <t xml:space="preserve">5.10</t>
  </si>
  <si>
    <t xml:space="preserve">Дополнительные мероприятия</t>
  </si>
  <si>
    <t xml:space="preserve">F29, F36</t>
  </si>
  <si>
    <t xml:space="preserve">Разработка вручную в зоне коммуникаций; техника и отвал грунта не у бровки (параметр); работы в охранной зоне — по согласованию</t>
  </si>
  <si>
    <t xml:space="preserve">СН РК 1.03-05-2011 — сверить</t>
  </si>
  <si>
    <t xml:space="preserve">GP-5.1</t>
  </si>
  <si>
    <t xml:space="preserve">F07, F11, F12</t>
  </si>
  <si>
    <t xml:space="preserve">Остановка СК, других ГПМ и механизмов в зоне</t>
  </si>
  <si>
    <t xml:space="preserve">GP-5.2</t>
  </si>
  <si>
    <t xml:space="preserve">F02, F08, F09</t>
  </si>
  <si>
    <t xml:space="preserve">При ВЛ ближе 30 м — отдельный НД/согласование; отключение электропривода; сброс давления</t>
  </si>
  <si>
    <t xml:space="preserve">Правила ГПМ № 359 (сверить) + № 344</t>
  </si>
  <si>
    <t xml:space="preserve">GP-5.3</t>
  </si>
  <si>
    <t xml:space="preserve">Установка ГПМ на выносные опоры и подкладки; сигнальные лампы в тёмное время</t>
  </si>
  <si>
    <t xml:space="preserve">GP-5.4</t>
  </si>
  <si>
    <t xml:space="preserve">Анализ воздуха у устья/насосной до начала работ</t>
  </si>
  <si>
    <t xml:space="preserve">№ 355, п. 33</t>
  </si>
  <si>
    <t xml:space="preserve">GP-5.5</t>
  </si>
  <si>
    <t xml:space="preserve">Ограждение опасной зоны; запрет нахождения под грузом и стрелой; плакаты</t>
  </si>
  <si>
    <t xml:space="preserve">№ 355, п. 28</t>
  </si>
  <si>
    <t xml:space="preserve">GP-5.6</t>
  </si>
  <si>
    <t xml:space="preserve">F05, F14</t>
  </si>
  <si>
    <t xml:space="preserve">Страховка персонала на высоте; разделение работ на высоте и подъёма грузов</t>
  </si>
  <si>
    <t xml:space="preserve">№ 109, пп. 9, 80</t>
  </si>
  <si>
    <t xml:space="preserve">GP-5.7</t>
  </si>
  <si>
    <t xml:space="preserve">Предупреждение машинистов смежных ГПМ, операторов, диспетчера; запись в журнале</t>
  </si>
  <si>
    <t xml:space="preserve">GP-5.8</t>
  </si>
  <si>
    <t xml:space="preserve">GP-5.9</t>
  </si>
  <si>
    <t xml:space="preserve">Маршруты персонала и техники; проходы к местам строповки</t>
  </si>
  <si>
    <t xml:space="preserve">GP-5.10</t>
  </si>
  <si>
    <t xml:space="preserve">Связь стропальщик – машинист – производитель; строповка по схеме; проверка ГЗП; стоп при ветре/грозе</t>
  </si>
  <si>
    <t xml:space="preserve">№ 355, п. 39 + справочник</t>
  </si>
  <si>
    <t xml:space="preserve">ZP-5.1</t>
  </si>
  <si>
    <t xml:space="preserve">Остановка оборудования, мешалок, насосов, связанных с ёмкостью</t>
  </si>
  <si>
    <t xml:space="preserve">Справочник ОМГ (наполнить)</t>
  </si>
  <si>
    <t xml:space="preserve">ZP-5.2</t>
  </si>
  <si>
    <t xml:space="preserve">Отключение электроприводов с плакатами; освобождение от продукта; сброс давления</t>
  </si>
  <si>
    <t xml:space="preserve">ZP-5.3</t>
  </si>
  <si>
    <t xml:space="preserve">Заглушки на всех входящих трубопроводах</t>
  </si>
  <si>
    <t xml:space="preserve">ZP-5.4</t>
  </si>
  <si>
    <t xml:space="preserve">Анализ воздуха внутри до входа и периодически: место, время, прибор, результат; остановка при загазованности</t>
  </si>
  <si>
    <t xml:space="preserve">№ 355, п. 33 (изолированные помещения, закрытые ёмкости, колодцы)</t>
  </si>
  <si>
    <t xml:space="preserve">ZP-5.5</t>
  </si>
  <si>
    <t xml:space="preserve">Ограждение зоны у люка; знаки</t>
  </si>
  <si>
    <t xml:space="preserve">ZP-5.6</t>
  </si>
  <si>
    <t xml:space="preserve">F06, F16</t>
  </si>
  <si>
    <t xml:space="preserve">Вертикальный вход/колодец: страховочная привязь с сигнально-спасательной верёвкой, средство подъёма</t>
  </si>
  <si>
    <t xml:space="preserve">Стандарт ОМГ (сверить)</t>
  </si>
  <si>
    <t xml:space="preserve">ZP-5.7</t>
  </si>
  <si>
    <t xml:space="preserve">Предупреждение оператора/диспетчера о работе внутри ёмкости</t>
  </si>
  <si>
    <t xml:space="preserve">ZP-5.8</t>
  </si>
  <si>
    <t xml:space="preserve">ZP-5.9</t>
  </si>
  <si>
    <t xml:space="preserve">Маршрут эвакуации из ёмкости и с площадки</t>
  </si>
  <si>
    <t xml:space="preserve">ZP-5.10</t>
  </si>
  <si>
    <t xml:space="preserve">Наблюдающий снаружи; связь; СИЗОД по стандарту ОМГ; вентиляция; взрывозащищённое освещение и инструмент</t>
  </si>
  <si>
    <t xml:space="preserve">DR-5.1</t>
  </si>
  <si>
    <t xml:space="preserve">по описанию</t>
  </si>
  <si>
    <t xml:space="preserve">Определяется по описанию работ (LLM) и справочнику категории</t>
  </si>
  <si>
    <t xml:space="preserve">DR-5.2</t>
  </si>
  <si>
    <t xml:space="preserve">DR-5.3</t>
  </si>
  <si>
    <t xml:space="preserve">DR-5.4</t>
  </si>
  <si>
    <t xml:space="preserve">DR-5.5</t>
  </si>
  <si>
    <t xml:space="preserve">Ограждение или обозначение опасного участка</t>
  </si>
  <si>
    <t xml:space="preserve">DR-5.6</t>
  </si>
  <si>
    <t xml:space="preserve">DR-5.7</t>
  </si>
  <si>
    <t xml:space="preserve">DR-5.8</t>
  </si>
  <si>
    <t xml:space="preserve">DR-5.9</t>
  </si>
  <si>
    <t xml:space="preserve">Маршрут к месту работ</t>
  </si>
  <si>
    <t xml:space="preserve">DR-5.10</t>
  </si>
  <si>
    <t xml:space="preserve">OG-5.1</t>
  </si>
  <si>
    <t xml:space="preserve">Остановка оборудования, на котором или рядом с которым ведутся работы</t>
  </si>
  <si>
    <t xml:space="preserve">OG-5.2</t>
  </si>
  <si>
    <t xml:space="preserve">Отключение, освобождение от продукта, сброс давления</t>
  </si>
  <si>
    <t xml:space="preserve">OG-5.3</t>
  </si>
  <si>
    <t xml:space="preserve">Заглушки на трубопроводах, связанных с местом работ</t>
  </si>
  <si>
    <t xml:space="preserve">OG-5.4</t>
  </si>
  <si>
    <t xml:space="preserve">Анализ воздуха до начала и при перерывах: место, время, прибор, результат</t>
  </si>
  <si>
    <t xml:space="preserve">OG-5.5</t>
  </si>
  <si>
    <t xml:space="preserve">Ограждение; удаление горючих материалов; не ближе 50 м от мест применения/складирования ЛВЖ и ВВ</t>
  </si>
  <si>
    <t xml:space="preserve">№ 355, п. 32</t>
  </si>
  <si>
    <t xml:space="preserve">OG-5.6</t>
  </si>
  <si>
    <t xml:space="preserve">F16</t>
  </si>
  <si>
    <t xml:space="preserve">Защита от падения искр и огарков вниз; страховка сварщика</t>
  </si>
  <si>
    <t xml:space="preserve">№ 109 + ППБ № 55 гл. 7 (наполнить)</t>
  </si>
  <si>
    <t xml:space="preserve">OG-5.7</t>
  </si>
  <si>
    <t xml:space="preserve">Предупреждение оператора/смежных цехов; противопожарная служба — по параметру ОМГ</t>
  </si>
  <si>
    <t xml:space="preserve">Параметр ОМГ</t>
  </si>
  <si>
    <t xml:space="preserve">OG-5.8</t>
  </si>
  <si>
    <t xml:space="preserve">OG-5.9</t>
  </si>
  <si>
    <t xml:space="preserve">Маршрут к месту работ; пути эвакуации</t>
  </si>
  <si>
    <t xml:space="preserve">OG-5.10</t>
  </si>
  <si>
    <t xml:space="preserve">Средства пожаротушения на месте; исправность и заземление сварочного оборудования; размещение баллонов</t>
  </si>
  <si>
    <t xml:space="preserve">№ 355, п. 32 + ППБ № 55 гл. 4–7 (наполнить)</t>
  </si>
  <si>
    <t xml:space="preserve">GO-5.1</t>
  </si>
  <si>
    <t xml:space="preserve">Остановка технологического оборудования</t>
  </si>
  <si>
    <t xml:space="preserve">GO-5.2</t>
  </si>
  <si>
    <t xml:space="preserve">Отключение, сброс давления, освобождение от продукта, продувка</t>
  </si>
  <si>
    <t xml:space="preserve">GO-5.3</t>
  </si>
  <si>
    <t xml:space="preserve">Заглушки; сигнальные лампы</t>
  </si>
  <si>
    <t xml:space="preserve">GO-5.4</t>
  </si>
  <si>
    <t xml:space="preserve">Анализ воздуха до начала и в ходе работ: место, время, периодичность, прибор, результат; остановка при загазованности</t>
  </si>
  <si>
    <t xml:space="preserve">GO-5.5</t>
  </si>
  <si>
    <t xml:space="preserve">Ограждение; знаки и плакаты газоопасной зоны</t>
  </si>
  <si>
    <t xml:space="preserve">№ 355, пп. 27–28</t>
  </si>
  <si>
    <t xml:space="preserve">GO-5.6</t>
  </si>
  <si>
    <t xml:space="preserve">Колодец/высота: страховка, средство подъёма</t>
  </si>
  <si>
    <t xml:space="preserve">№ 109 + стандарт ОМГ</t>
  </si>
  <si>
    <t xml:space="preserve">GO-5.7</t>
  </si>
  <si>
    <t xml:space="preserve">Предупреждение оператора, диспетчера, смежных подразделений</t>
  </si>
  <si>
    <t xml:space="preserve">GO-5.8</t>
  </si>
  <si>
    <t xml:space="preserve">GO-5.9</t>
  </si>
  <si>
    <t xml:space="preserve">Маршрут эвакуации с учётом направления ветра</t>
  </si>
  <si>
    <t xml:space="preserve">№ 355, п. 26 (схема маршрутов и направлений распространения H2S)</t>
  </si>
  <si>
    <t xml:space="preserve">GO-5.10</t>
  </si>
  <si>
    <t xml:space="preserve">СИЗОД; наблюдающий; двусторонняя связь; искробезопасный инструмент</t>
  </si>
  <si>
    <t xml:space="preserve">№ 355, п. 39 + стандарт ОМГ</t>
  </si>
  <si>
    <t xml:space="preserve">VS-5.1</t>
  </si>
  <si>
    <t xml:space="preserve">F01, F07, F08</t>
  </si>
  <si>
    <t xml:space="preserve">Остановка механизмов, СК, ГПМ в зоне работ</t>
  </si>
  <si>
    <t xml:space="preserve">VS-5.2</t>
  </si>
  <si>
    <t xml:space="preserve">F09, F02</t>
  </si>
  <si>
    <t xml:space="preserve">Отключение электрооборудования; ВЛ — отдельный НД</t>
  </si>
  <si>
    <t xml:space="preserve">VS-5.3</t>
  </si>
  <si>
    <t xml:space="preserve">Плакаты на пусковых устройствах; сигнальные лампы в тёмное время</t>
  </si>
  <si>
    <t xml:space="preserve">VS-5.4</t>
  </si>
  <si>
    <t xml:space="preserve">Анализ воздуха при газоопасной зоне</t>
  </si>
  <si>
    <t xml:space="preserve">VS-5.5</t>
  </si>
  <si>
    <t xml:space="preserve">Ограждение зоны возможного падения предметов с радиусом по высоте; плакаты «Стой! Опасная зона!» и др.</t>
  </si>
  <si>
    <t xml:space="preserve">№ 109, пп. 77–78</t>
  </si>
  <si>
    <t xml:space="preserve">VS-5.6</t>
  </si>
  <si>
    <t xml:space="preserve">Способ страховки и точки закрепления; рабочее место (площадка, лестница, люлька); аварийный запас снаряжения</t>
  </si>
  <si>
    <t xml:space="preserve">№ 109, пп. 3, 9, 24</t>
  </si>
  <si>
    <t xml:space="preserve">VS-5.7</t>
  </si>
  <si>
    <t xml:space="preserve">F01, F12</t>
  </si>
  <si>
    <t xml:space="preserve">Предупреждение машинистов ГПМ и операторов спецтехники; ГПМ не въезжают в зону</t>
  </si>
  <si>
    <t xml:space="preserve">№ 109, п. 80</t>
  </si>
  <si>
    <t xml:space="preserve">VS-5.8</t>
  </si>
  <si>
    <t xml:space="preserve">VS-5.9</t>
  </si>
  <si>
    <t xml:space="preserve">Маршрут подъёма; освещение в тёмное время</t>
  </si>
  <si>
    <t xml:space="preserve">№ 355, п. 30</t>
  </si>
  <si>
    <t xml:space="preserve">VS-5.10</t>
  </si>
  <si>
    <t xml:space="preserve">Стоп-условия: видимость, осадки, гроза, ветер ≥ 15 м/с; связь в бригаде; инструмент в сумках, &gt; 10 кг — независимая страховка</t>
  </si>
  <si>
    <t xml:space="preserve">№ 109, пп. 4, 7, 85–86</t>
  </si>
  <si>
    <t xml:space="preserve">Исполнитель</t>
  </si>
  <si>
    <t xml:space="preserve">ZR-01</t>
  </si>
  <si>
    <t xml:space="preserve">Флаг «Согласование со смежными цехами/участками» = Да; в 5.7 указано согласование с владельцами коммуникаций</t>
  </si>
  <si>
    <t xml:space="preserve">№ 344: все земляные работы предварительно согласуются с обслуживающими организациями</t>
  </si>
  <si>
    <t xml:space="preserve">ZR-02</t>
  </si>
  <si>
    <t xml:space="preserve">Есть ссылка на схему коммуникаций во вложениях</t>
  </si>
  <si>
    <t xml:space="preserve">Код (вложения)</t>
  </si>
  <si>
    <t xml:space="preserve">№ 344: схемы прилагаются к НД</t>
  </si>
  <si>
    <t xml:space="preserve">ZR-03</t>
  </si>
  <si>
    <t xml:space="preserve">Ограждение выемки ≥ 1 м или защитное покрытие</t>
  </si>
  <si>
    <t xml:space="preserve">Код + LLM</t>
  </si>
  <si>
    <t xml:space="preserve">№ 355, п. 128</t>
  </si>
  <si>
    <t xml:space="preserve">ZR-04</t>
  </si>
  <si>
    <t xml:space="preserve">При F03 или шурфе/траншее на объекте с газом — анализ воздуха до спуска людей</t>
  </si>
  <si>
    <t xml:space="preserve">ZR-05</t>
  </si>
  <si>
    <t xml:space="preserve">При глубине сверх допустимой без крепления — крепление стенок или откосы</t>
  </si>
  <si>
    <t xml:space="preserve">Код (параметр) + LLM</t>
  </si>
  <si>
    <t xml:space="preserve">СН РК 1.03-05-2011 — сверить пороги</t>
  </si>
  <si>
    <t xml:space="preserve">ZR-06</t>
  </si>
  <si>
    <t xml:space="preserve">При F27 — ручная разработка в зоне коммуникаций, присутствие представителя владельца</t>
  </si>
  <si>
    <t xml:space="preserve">LLM</t>
  </si>
  <si>
    <t xml:space="preserve">Практика + стандарт ОМГ — сверить</t>
  </si>
  <si>
    <t xml:space="preserve">ZR-07</t>
  </si>
  <si>
    <t xml:space="preserve">Опасности «обрушение грунта», «повреждение коммуникаций» есть в рисках</t>
  </si>
  <si>
    <t xml:space="preserve">Справочник рисков</t>
  </si>
  <si>
    <t xml:space="preserve">GP-01</t>
  </si>
  <si>
    <t xml:space="preserve">ВЛ ближе 30 м (F02) → флаг согласования = Да и отдельный НД</t>
  </si>
  <si>
    <t xml:space="preserve">Правила ГПМ № 359 — сверить пункт; № 344</t>
  </si>
  <si>
    <t xml:space="preserve">GP-02</t>
  </si>
  <si>
    <t xml:space="preserve">Запрет нахождения под грузом и стрелой указан</t>
  </si>
  <si>
    <t xml:space="preserve">GP-03</t>
  </si>
  <si>
    <t xml:space="preserve">Совмещение с работой на высоте (F05) → разделение по времени</t>
  </si>
  <si>
    <t xml:space="preserve">GP-04</t>
  </si>
  <si>
    <t xml:space="preserve">Связь стропальщик – машинист – производитель</t>
  </si>
  <si>
    <t xml:space="preserve">№ 355, п. 39</t>
  </si>
  <si>
    <t xml:space="preserve">GP-05</t>
  </si>
  <si>
    <t xml:space="preserve">При указании радиуса опасной зоны — значение в метрах</t>
  </si>
  <si>
    <t xml:space="preserve">Код (S14)</t>
  </si>
  <si>
    <t xml:space="preserve">ZP-01</t>
  </si>
  <si>
    <t xml:space="preserve">Флаг «Контроль газо-воздушной среды» = Да</t>
  </si>
  <si>
    <t xml:space="preserve">ZP-02</t>
  </si>
  <si>
    <t xml:space="preserve">Наблюдающий снаружи и способ связи с работающим внутри</t>
  </si>
  <si>
    <t xml:space="preserve">Стандарт ОМГ — сверить</t>
  </si>
  <si>
    <t xml:space="preserve">ZP-03</t>
  </si>
  <si>
    <t xml:space="preserve">Все входящие трубопроводы отсечены заглушками</t>
  </si>
  <si>
    <t xml:space="preserve">ZP-04</t>
  </si>
  <si>
    <t xml:space="preserve">Огневые работы внутри (F31) → оформлены НД на огневые и газоопасные работы</t>
  </si>
  <si>
    <t xml:space="preserve">Аналог: ПБ ОПО подготовки и переработки газов, п. 101 (V1400010238) — решение ОМГ</t>
  </si>
  <si>
    <t xml:space="preserve">ZP-05</t>
  </si>
  <si>
    <t xml:space="preserve">Сварка внутри → шланговый противогаз; запрет одновременной работы газо- и электросварщика внутри</t>
  </si>
  <si>
    <t xml:space="preserve">Аналог: V1400010238 — решение ОМГ</t>
  </si>
  <si>
    <t xml:space="preserve">ZP-06</t>
  </si>
  <si>
    <t xml:space="preserve">Опасности «отравление/удушье», «взрыв», «затруднённая эвакуация» есть в рисках</t>
  </si>
  <si>
    <t xml:space="preserve">DR-01</t>
  </si>
  <si>
    <t xml:space="preserve">Описание работ достаточно конкретно (объект, вид работы, оборудование)</t>
  </si>
  <si>
    <t xml:space="preserve">DR-02</t>
  </si>
  <si>
    <t xml:space="preserve">Все мероприятия соответствуют описанию работ</t>
  </si>
  <si>
    <t xml:space="preserve">DR-03</t>
  </si>
  <si>
    <t xml:space="preserve">В рисках ≥ 1 опасность, соответствующая описанию</t>
  </si>
  <si>
    <t xml:space="preserve">LLM + код</t>
  </si>
  <si>
    <t xml:space="preserve">DR-04</t>
  </si>
  <si>
    <t xml:space="preserve">Если по описанию работа относится к другой категории — предложить сменить категорию</t>
  </si>
  <si>
    <t xml:space="preserve">OG-01</t>
  </si>
  <si>
    <t xml:space="preserve">Не ближе 50 м от мест применения/складирования ЛВЖ и ВВ (F34 = Нет или мероприятие)</t>
  </si>
  <si>
    <t xml:space="preserve">OG-02</t>
  </si>
  <si>
    <t xml:space="preserve">Средства пожаротушения на месте указаны</t>
  </si>
  <si>
    <t xml:space="preserve">OG-03</t>
  </si>
  <si>
    <t xml:space="preserve">При F03 — анализ воздуха до начала и после перерывов</t>
  </si>
  <si>
    <t xml:space="preserve">OG-04</t>
  </si>
  <si>
    <t xml:space="preserve">Огневые внутри ёмкости (F31) → дополнительно НД на газоопасные работы</t>
  </si>
  <si>
    <t xml:space="preserve">Аналог V1400010238, п. 101 — решение ОМГ</t>
  </si>
  <si>
    <t xml:space="preserve">OG-05</t>
  </si>
  <si>
    <t xml:space="preserve">Поле «Противопожарная служба» соответствует параметру ОМГ для объекта</t>
  </si>
  <si>
    <t xml:space="preserve">OG-06</t>
  </si>
  <si>
    <t xml:space="preserve">Требования главы 7 Правил пожарной безопасности</t>
  </si>
  <si>
    <t xml:space="preserve">По карточке</t>
  </si>
  <si>
    <t xml:space="preserve">ППБ № 55 — наполнить</t>
  </si>
  <si>
    <t xml:space="preserve">GO-01</t>
  </si>
  <si>
    <t xml:space="preserve">GO-02</t>
  </si>
  <si>
    <t xml:space="preserve">В 5.4 место, время, периодичность, прибор, результат</t>
  </si>
  <si>
    <t xml:space="preserve">Код (шаблон)</t>
  </si>
  <si>
    <t xml:space="preserve">Форма НД, подсказка 5.4</t>
  </si>
  <si>
    <t xml:space="preserve">GO-03</t>
  </si>
  <si>
    <t xml:space="preserve">Остановка работ при загазованности до её устранения</t>
  </si>
  <si>
    <t xml:space="preserve">GO-04</t>
  </si>
  <si>
    <t xml:space="preserve">Двусторонняя связь</t>
  </si>
  <si>
    <t xml:space="preserve">GO-05</t>
  </si>
  <si>
    <t xml:space="preserve">Опасности «отравление», «взрыв/пожар» есть в рисках</t>
  </si>
  <si>
    <t xml:space="preserve">VS-01</t>
  </si>
  <si>
    <t xml:space="preserve">Определены способ страховки и точки закрепления</t>
  </si>
  <si>
    <t xml:space="preserve">№ 109, п. 9</t>
  </si>
  <si>
    <t xml:space="preserve">VS-02</t>
  </si>
  <si>
    <t xml:space="preserve">Стоп-условия: видимость, осадки, гроза, ветер ≥ 15 м/с</t>
  </si>
  <si>
    <t xml:space="preserve">№ 109, п. 4</t>
  </si>
  <si>
    <t xml:space="preserve">VS-03</t>
  </si>
  <si>
    <t xml:space="preserve">Температурные ограничения — по гигиеническим нормативам № ҚР ДСМ-15, а не «нормам местных органов»</t>
  </si>
  <si>
    <t xml:space="preserve">Код (маркеры)</t>
  </si>
  <si>
    <t xml:space="preserve">№ 109, п. 5</t>
  </si>
  <si>
    <t xml:space="preserve">VS-04</t>
  </si>
  <si>
    <t xml:space="preserve">Радиус ограждения ≥ табличного для указанной высоты</t>
  </si>
  <si>
    <t xml:space="preserve">Код (параметр)</t>
  </si>
  <si>
    <t xml:space="preserve">№ 109, п. 77</t>
  </si>
  <si>
    <t xml:space="preserve">VS-05</t>
  </si>
  <si>
    <t xml:space="preserve">Аварийный запас снаряжения или ≥ 2 свободные верёвки</t>
  </si>
  <si>
    <t xml:space="preserve">VS-06</t>
  </si>
  <si>
    <t xml:space="preserve">Связь в бригаде (зрительная, голосовая или радио)</t>
  </si>
  <si>
    <t xml:space="preserve">№ 109, п. 7</t>
  </si>
  <si>
    <t xml:space="preserve">VS-07</t>
  </si>
  <si>
    <t xml:space="preserve">ГПМ не въезжают в рабочую зону (при F01)</t>
  </si>
  <si>
    <t xml:space="preserve">VS-08</t>
  </si>
  <si>
    <t xml:space="preserve">Предметы &gt; 10 кг — независимая страховка (при F25)</t>
  </si>
  <si>
    <t xml:space="preserve">№ 109, п. 85</t>
  </si>
  <si>
    <t xml:space="preserve">Группа</t>
  </si>
  <si>
    <t xml:space="preserve">RA01</t>
  </si>
  <si>
    <t xml:space="preserve">Полнота</t>
  </si>
  <si>
    <t xml:space="preserve">Таблица рисков пустая</t>
  </si>
  <si>
    <t xml:space="preserve">Оценка рисков не заполнена. Добавьте опасности для работы «{category}».</t>
  </si>
  <si>
    <t xml:space="preserve">RA02</t>
  </si>
  <si>
    <t xml:space="preserve">В строке не заполнено обязательное поле: опасность, кто может пострадать, как, существующие меры, В, П</t>
  </si>
  <si>
    <t xml:space="preserve">Строка {n}: не заполнено поле «{field}».</t>
  </si>
  <si>
    <t xml:space="preserve">RA03</t>
  </si>
  <si>
    <t xml:space="preserve">Арифметика</t>
  </si>
  <si>
    <t xml:space="preserve">В или П вне шкалы организации (целое в диапазоне P10)</t>
  </si>
  <si>
    <t xml:space="preserve">Строка {n}: значение {field} = {value} вне шкалы {min}–{max}.</t>
  </si>
  <si>
    <t xml:space="preserve">Параметр P10</t>
  </si>
  <si>
    <t xml:space="preserve">RA04</t>
  </si>
  <si>
    <t xml:space="preserve">Р ≠ В × П (исходный или остаточный). Р рассчитывается системой, ручной ввод запрещён</t>
  </si>
  <si>
    <t xml:space="preserve">Код (автоисправление)</t>
  </si>
  <si>
    <t xml:space="preserve">Строка {n}: Р пересчитан: {B} × {P} = {R}.</t>
  </si>
  <si>
    <t xml:space="preserve">RA05</t>
  </si>
  <si>
    <t xml:space="preserve">Логика снижения</t>
  </si>
  <si>
    <t xml:space="preserve">Остаточный Р больше исходного</t>
  </si>
  <si>
    <t xml:space="preserve">Строка {n}: остаточный риск ({R2}) выше исходного ({R1}).</t>
  </si>
  <si>
    <t xml:space="preserve">RA06</t>
  </si>
  <si>
    <t xml:space="preserve">Остаточные В/П заполнены и ниже исходных, а доп. меры пусты</t>
  </si>
  <si>
    <t xml:space="preserve">Строка {n}: риск снижен без дополнительных мер. Укажите меры или верните исходные значения.</t>
  </si>
  <si>
    <t xml:space="preserve">RA07</t>
  </si>
  <si>
    <t xml:space="preserve">Доп. меры заполнены, а остаточные В/П не указаны</t>
  </si>
  <si>
    <t xml:space="preserve">Строка {n}: укажите остаточные В и П после доп. мер.</t>
  </si>
  <si>
    <t xml:space="preserve">RA08</t>
  </si>
  <si>
    <t xml:space="preserve">Доп. меры совпадают с существующими (тот же ID справочника или сходство ≥ 0,9)</t>
  </si>
  <si>
    <t xml:space="preserve">Строка {n}: доп. мера «{m}» уже указана в существующих мерах и не может снижать риск повторно.</t>
  </si>
  <si>
    <t xml:space="preserve">RA09</t>
  </si>
  <si>
    <t xml:space="preserve">Снижена тяжесть В, но ни одна доп. мера не влияет на тяжесть (признак меры «влияет на» = П)</t>
  </si>
  <si>
    <t xml:space="preserve">Код (по признаку меры); LLM, если признак не задан</t>
  </si>
  <si>
    <t xml:space="preserve">Строка {n}: тяжесть снижена с {B1} до {B2}, но меры «{m}» влияют только на вероятность.</t>
  </si>
  <si>
    <t xml:space="preserve">Иерархия мер</t>
  </si>
  <si>
    <t xml:space="preserve">RA10</t>
  </si>
  <si>
    <t xml:space="preserve">Допустимость</t>
  </si>
  <si>
    <t xml:space="preserve">Остаточный Р в недопустимой зоне организации</t>
  </si>
  <si>
    <t xml:space="preserve">Код (параметр P10)</t>
  </si>
  <si>
    <t xml:space="preserve">Строка {n}: остаточный риск {R2} недопустим. Нужны дополнительные меры или решение руководства.</t>
  </si>
  <si>
    <t xml:space="preserve">RA11</t>
  </si>
  <si>
    <t xml:space="preserve">Исходный Р в зоне «требует мер», а доп. меры не указаны</t>
  </si>
  <si>
    <t xml:space="preserve">Строка {n}: риск {R1} требует дополнительных мер контроля.</t>
  </si>
  <si>
    <t xml:space="preserve">RA12</t>
  </si>
  <si>
    <t xml:space="preserve">Состав</t>
  </si>
  <si>
    <t xml:space="preserve">Отсутствует обязательная опасность категории (лист «Опасности по категориям», когда = Всегда)</t>
  </si>
  <si>
    <t xml:space="preserve">По справочнику</t>
  </si>
  <si>
    <t xml:space="preserve">Для работы «{category}» не оценена опасность «{hazard}».</t>
  </si>
  <si>
    <t xml:space="preserve">Справочник опасностей</t>
  </si>
  <si>
    <t xml:space="preserve">RA13</t>
  </si>
  <si>
    <t xml:space="preserve">Отсутствует опасность, обязательная при подтверждённом факторе</t>
  </si>
  <si>
    <t xml:space="preserve">Фактор «{factor}» = Да, но опасность «{hazard}» не оценена.</t>
  </si>
  <si>
    <t xml:space="preserve">RA14</t>
  </si>
  <si>
    <t xml:space="preserve">Одна и та же опасность повторяется с тем же «кто» и «как»</t>
  </si>
  <si>
    <t xml:space="preserve">Строки {n1} и {n2} дублируют друг друга.</t>
  </si>
  <si>
    <t xml:space="preserve">RA15</t>
  </si>
  <si>
    <t xml:space="preserve">Применимость</t>
  </si>
  <si>
    <t xml:space="preserve">Опасность из справочника другой категории без соответствующего фактора</t>
  </si>
  <si>
    <t xml:space="preserve">Опасность «{hazard}» не характерна для работы «{category}». Уточните применимость.</t>
  </si>
  <si>
    <t xml:space="preserve">Аналог N01</t>
  </si>
  <si>
    <t xml:space="preserve">RA16</t>
  </si>
  <si>
    <t xml:space="preserve">Согласованность</t>
  </si>
  <si>
    <t xml:space="preserve">«Кто пострадает» / «как пострадает» не связаны с опасностью в справочнике</t>
  </si>
  <si>
    <t xml:space="preserve">Код (связи справочника); LLM, если связей нет</t>
  </si>
  <si>
    <t xml:space="preserve">Строка {n}: «{harm}» не соответствует опасности «{hazard}».</t>
  </si>
  <si>
    <t xml:space="preserve">RA17</t>
  </si>
  <si>
    <t xml:space="preserve">Существующая или доп. мера не связана с опасностью</t>
  </si>
  <si>
    <t xml:space="preserve">Строка {n}: мера «{m}» не снижает опасность «{hazard}».</t>
  </si>
  <si>
    <t xml:space="preserve">RA18</t>
  </si>
  <si>
    <t xml:space="preserve">Связь с разделом 5</t>
  </si>
  <si>
    <t xml:space="preserve">Для опасности с Р ≥ порога нет мероприятия в связанном пункте 5.x</t>
  </si>
  <si>
    <t xml:space="preserve">Для опасности «{hazard}» нет мероприятия в пункте {section}.</t>
  </si>
  <si>
    <t xml:space="preserve">RA19</t>
  </si>
  <si>
    <t xml:space="preserve">Мероприятие раздела 5 указывает на опасность (ЛЭП, газ, высота, коммуникации), которой нет в рисках</t>
  </si>
  <si>
    <t xml:space="preserve">Код (маркеры) + LLM</t>
  </si>
  <si>
    <t xml:space="preserve">В пункте {section} есть мероприятие по «{topic}», но соответствующая опасность не оценена.</t>
  </si>
  <si>
    <t xml:space="preserve">RA20</t>
  </si>
  <si>
    <t xml:space="preserve">Доп. мера контроля не отражена в мероприятиях раздела 5 (не будет выполнена при подготовке)</t>
  </si>
  <si>
    <t xml:space="preserve">Код (связь меры с пунктом) + LLM</t>
  </si>
  <si>
    <t xml:space="preserve">Доп. мера «{m}» отсутствует в подготовительных мероприятиях. Добавьте её в пункт {section}.</t>
  </si>
  <si>
    <t xml:space="preserve">RA21</t>
  </si>
  <si>
    <t xml:space="preserve">Достоверность</t>
  </si>
  <si>
    <t xml:space="preserve">Тяжесть ниже минимальной для опасности (признак справочника «мин. тяжесть»)</t>
  </si>
  <si>
    <t xml:space="preserve">Код (параметр шкалы)</t>
  </si>
  <si>
    <t xml:space="preserve">Строка {n}: тяжесть «{hazard}» = {B}, минимально допустимая для этой опасности — {Bmin}.</t>
  </si>
  <si>
    <t xml:space="preserve">RA22</t>
  </si>
  <si>
    <t xml:space="preserve">Все строки с одинаковыми В и П (шаблонное заполнение)</t>
  </si>
  <si>
    <t xml:space="preserve">Все опасности оценены одинаково ({B} × {P}). Подтвердите оценку.</t>
  </si>
  <si>
    <t xml:space="preserve">RA23</t>
  </si>
  <si>
    <t xml:space="preserve">При исходном Р в зоне «высокий» все доп. меры — только СИЗ и организационные</t>
  </si>
  <si>
    <t xml:space="preserve">Код (уровень иерархии меры); LLM, если не задан</t>
  </si>
  <si>
    <t xml:space="preserve">Строка {n}: для высокого риска рассмотрите инженерные меры или замену способа работ.</t>
  </si>
  <si>
    <t xml:space="preserve">RA24</t>
  </si>
  <si>
    <t xml:space="preserve">Заполнены доп. меры, а «Кто будет контролировать» или «Когда внедрить» пусты</t>
  </si>
  <si>
    <t xml:space="preserve">Строка {n}: укажите, кто контролирует доп. меры и когда их внедрить.</t>
  </si>
  <si>
    <t xml:space="preserve">RA25</t>
  </si>
  <si>
    <t xml:space="preserve">«Когда внедрить» позже начала работ для доп. меры, без которой исходный риск в недопустимой зоне</t>
  </si>
  <si>
    <t xml:space="preserve">Строка {n}: мера «{m}» должна быть внедрена до начала работ — без неё риск {R1} недопустим.</t>
  </si>
  <si>
    <t xml:space="preserve">Опасность</t>
  </si>
  <si>
    <t xml:space="preserve">Обязательна</t>
  </si>
  <si>
    <t xml:space="preserve">Мин. тяжесть</t>
  </si>
  <si>
    <t xml:space="preserve">Кто может пострадать</t>
  </si>
  <si>
    <t xml:space="preserve">Как пострадают</t>
  </si>
  <si>
    <t xml:space="preserve">Типовые существующие меры</t>
  </si>
  <si>
    <t xml:space="preserve">Типовые доп. меры (уровень / влияет на)</t>
  </si>
  <si>
    <t xml:space="preserve">Связанные пп. 5.x</t>
  </si>
  <si>
    <t xml:space="preserve">Обрушение грунта стенок выемки</t>
  </si>
  <si>
    <t xml:space="preserve">Всегда</t>
  </si>
  <si>
    <t xml:space="preserve">Высокая</t>
  </si>
  <si>
    <t xml:space="preserve">Работники в выемке</t>
  </si>
  <si>
    <t xml:space="preserve">Завал, травмы, удушье</t>
  </si>
  <si>
    <t xml:space="preserve">Откосы по проекту; крепление стенок</t>
  </si>
  <si>
    <t xml:space="preserve">Инспекция крепления перед сменой (орг. / П); запрет нахождения в выемке без крепления (орг. / П)</t>
  </si>
  <si>
    <t xml:space="preserve">5.6, 5.10</t>
  </si>
  <si>
    <t xml:space="preserve">Повреждение подземных коммуникаций</t>
  </si>
  <si>
    <t xml:space="preserve">F27</t>
  </si>
  <si>
    <t xml:space="preserve">Бригада, машинист техники</t>
  </si>
  <si>
    <t xml:space="preserve">Поражение током, выброс газа/нефти, пожар</t>
  </si>
  <si>
    <t xml:space="preserve">Схема коммуникаций; согласование с владельцами</t>
  </si>
  <si>
    <t xml:space="preserve">Ручная разработка в зоне коммуникаций (орг. / П); шурфование (инж. / П); отключение кабеля (инж. / П+В)</t>
  </si>
  <si>
    <t xml:space="preserve">5.2, 5.7</t>
  </si>
  <si>
    <t xml:space="preserve">Падение в выемку</t>
  </si>
  <si>
    <t xml:space="preserve">Средняя</t>
  </si>
  <si>
    <t xml:space="preserve">Работники, посторонние</t>
  </si>
  <si>
    <t xml:space="preserve">Переломы, ушибы</t>
  </si>
  <si>
    <t xml:space="preserve">Ограждение ≥ 1 м</t>
  </si>
  <si>
    <t xml:space="preserve">Освещение в тёмное время (инж. / П); переходные мостики (инж. / П)</t>
  </si>
  <si>
    <t xml:space="preserve">Загазованность выемки</t>
  </si>
  <si>
    <t xml:space="preserve">Отравление, потеря сознания</t>
  </si>
  <si>
    <t xml:space="preserve">Анализ воздуха до спуска</t>
  </si>
  <si>
    <t xml:space="preserve">Непрерывный газоконтроль (инж. / П); СИЗОД (СИЗ / В)</t>
  </si>
  <si>
    <t xml:space="preserve">Наезд / удар техникой</t>
  </si>
  <si>
    <t xml:space="preserve">F29</t>
  </si>
  <si>
    <t xml:space="preserve">Работники у техники</t>
  </si>
  <si>
    <t xml:space="preserve">Травмы</t>
  </si>
  <si>
    <t xml:space="preserve">Сигнальщик; зона работы техники</t>
  </si>
  <si>
    <t xml:space="preserve">Запрет нахождения в радиусе действия ковша (орг. / П)</t>
  </si>
  <si>
    <t xml:space="preserve">5.1, 5.9</t>
  </si>
  <si>
    <t xml:space="preserve">Падение груза</t>
  </si>
  <si>
    <t xml:space="preserve">Стропальщики, бригада</t>
  </si>
  <si>
    <t xml:space="preserve">Травмы, смертельный исход</t>
  </si>
  <si>
    <t xml:space="preserve">Строповка по схеме; исправные стропы</t>
  </si>
  <si>
    <t xml:space="preserve">Пробный подъём 200–300 мм (орг. / П); ограждение опасной зоны (инж. / П)</t>
  </si>
  <si>
    <t xml:space="preserve">5.5, 5.10</t>
  </si>
  <si>
    <t xml:space="preserve">Опрокидывание ГПМ</t>
  </si>
  <si>
    <t xml:space="preserve">Машинист, бригада</t>
  </si>
  <si>
    <t xml:space="preserve">Установка на выносные опоры и подкладки</t>
  </si>
  <si>
    <t xml:space="preserve">Проверка грунта (орг. / П); ограничитель грузоподъёмности (инж. / П)</t>
  </si>
  <si>
    <t xml:space="preserve">Поражение током при приближении к ВЛ</t>
  </si>
  <si>
    <t xml:space="preserve">F02</t>
  </si>
  <si>
    <t xml:space="preserve">Машинист, стропальщики</t>
  </si>
  <si>
    <t xml:space="preserve">Электротравма</t>
  </si>
  <si>
    <t xml:space="preserve">Отдельный НД; согласование с сетевой организацией</t>
  </si>
  <si>
    <t xml:space="preserve">Снятие напряжения с ВЛ (устр. / П+В); ограничитель зоны работы (инж. / П)</t>
  </si>
  <si>
    <t xml:space="preserve">Защемление, удар грузом</t>
  </si>
  <si>
    <t xml:space="preserve">Стропальщики</t>
  </si>
  <si>
    <t xml:space="preserve">Травмы рук, ушибы</t>
  </si>
  <si>
    <t xml:space="preserve">Оттяжки</t>
  </si>
  <si>
    <t xml:space="preserve">Запрет направлять груз руками (орг. / П)</t>
  </si>
  <si>
    <t xml:space="preserve">Нарушение связи и сигнализации</t>
  </si>
  <si>
    <t xml:space="preserve">Бригада</t>
  </si>
  <si>
    <t xml:space="preserve">Падение груза, удар</t>
  </si>
  <si>
    <t xml:space="preserve">Знаковая сигнализация</t>
  </si>
  <si>
    <t xml:space="preserve">Двусторонняя радиосвязь (инж. / П)</t>
  </si>
  <si>
    <t xml:space="preserve">Отравление / удушье</t>
  </si>
  <si>
    <t xml:space="preserve">Работник внутри, спасатели</t>
  </si>
  <si>
    <t xml:space="preserve">Потеря сознания, смертельный исход</t>
  </si>
  <si>
    <t xml:space="preserve">Анализ воздуха до входа; вентиляция</t>
  </si>
  <si>
    <t xml:space="preserve">Непрерывный газоконтроль (инж. / П); изолирующий СИЗОД (СИЗ / В); наблюдающий (орг. / В)</t>
  </si>
  <si>
    <t xml:space="preserve">5.4, 5.10</t>
  </si>
  <si>
    <t xml:space="preserve">Взрыв / пожар внутри</t>
  </si>
  <si>
    <t xml:space="preserve">Работник внутри, бригада</t>
  </si>
  <si>
    <t xml:space="preserve">Ожоги, смертельный исход</t>
  </si>
  <si>
    <t xml:space="preserve">Освобождение от продукта, пропарка/продувка</t>
  </si>
  <si>
    <t xml:space="preserve">Взрывозащищённое освещение и инструмент (инж. / П)</t>
  </si>
  <si>
    <t xml:space="preserve">5.2, 5.3, 5.4</t>
  </si>
  <si>
    <t xml:space="preserve">Затруднённая эвакуация пострадавшего</t>
  </si>
  <si>
    <t xml:space="preserve">Работник внутри</t>
  </si>
  <si>
    <t xml:space="preserve">Отягчение последствий</t>
  </si>
  <si>
    <t xml:space="preserve">Наблюдающий снаружи</t>
  </si>
  <si>
    <t xml:space="preserve">Страховочная привязь со спасательной верёвкой, средство подъёма (инж. / В)</t>
  </si>
  <si>
    <t xml:space="preserve">5.6, 5.9</t>
  </si>
  <si>
    <t xml:space="preserve">Поражение током</t>
  </si>
  <si>
    <t xml:space="preserve">F20</t>
  </si>
  <si>
    <t xml:space="preserve">Отключение электроприводов</t>
  </si>
  <si>
    <t xml:space="preserve">Безопасное напряжение переносного освещения по стандарту ОМГ (инж. / П)</t>
  </si>
  <si>
    <t xml:space="preserve">5.2, 5.10</t>
  </si>
  <si>
    <t xml:space="preserve">Пожар / взрыв</t>
  </si>
  <si>
    <t xml:space="preserve">Бригада, персонал объекта</t>
  </si>
  <si>
    <t xml:space="preserve">Удаление горючих; ≥ 50 м от ЛВЖ/ВВ</t>
  </si>
  <si>
    <t xml:space="preserve">Анализ воздуха (инж. / П); средства пожаротушения на месте (инж. / В); наблюдающий за искрами (орг. / П)</t>
  </si>
  <si>
    <t xml:space="preserve">5.4, 5.5, 5.10</t>
  </si>
  <si>
    <t xml:space="preserve">Ожоги, брызги металла, излучение</t>
  </si>
  <si>
    <t xml:space="preserve">Сварщик, помощник</t>
  </si>
  <si>
    <t xml:space="preserve">Ожоги, поражение глаз</t>
  </si>
  <si>
    <t xml:space="preserve">Спецодежда сварщика, щиток</t>
  </si>
  <si>
    <t xml:space="preserve">Ширмы (инж. / П)</t>
  </si>
  <si>
    <t xml:space="preserve">Поражение током при электросварке</t>
  </si>
  <si>
    <t xml:space="preserve">F35</t>
  </si>
  <si>
    <t xml:space="preserve">Сварщик</t>
  </si>
  <si>
    <t xml:space="preserve">Заземление, исправность кабелей</t>
  </si>
  <si>
    <t xml:space="preserve">Диэлектрический коврик в сырых местах (инж. / П)</t>
  </si>
  <si>
    <t xml:space="preserve">Отравление сварочными аэрозолями / газами</t>
  </si>
  <si>
    <t xml:space="preserve">Отравление</t>
  </si>
  <si>
    <t xml:space="preserve">Проветривание</t>
  </si>
  <si>
    <t xml:space="preserve">Местная вытяжка (инж. / П)</t>
  </si>
  <si>
    <t xml:space="preserve">Отравление (H2S, углеводороды)</t>
  </si>
  <si>
    <t xml:space="preserve">Отравление, смертельный исход</t>
  </si>
  <si>
    <t xml:space="preserve">Анализ воздуха; СИЗОД</t>
  </si>
  <si>
    <t xml:space="preserve">Непрерывный газоконтроль (инж. / П); наблюдающий (орг. / В)</t>
  </si>
  <si>
    <t xml:space="preserve">Взрыв / пожар</t>
  </si>
  <si>
    <t xml:space="preserve">Заглушки; продувка</t>
  </si>
  <si>
    <t xml:space="preserve">Искробезопасный инструмент (инж. / П)</t>
  </si>
  <si>
    <t xml:space="preserve">5.2, 5.3</t>
  </si>
  <si>
    <t xml:space="preserve">Выброс среды под давлением</t>
  </si>
  <si>
    <t xml:space="preserve">F08</t>
  </si>
  <si>
    <t xml:space="preserve">Травмы, ожоги</t>
  </si>
  <si>
    <t xml:space="preserve">Сброс давления, отключение</t>
  </si>
  <si>
    <t xml:space="preserve">Контроль отсутствия давления перед вскрытием (орг. / П)</t>
  </si>
  <si>
    <t xml:space="preserve">Падение с высоты</t>
  </si>
  <si>
    <t xml:space="preserve">Работник на высоте</t>
  </si>
  <si>
    <t xml:space="preserve">Ограждение рабочего места; страховочная система</t>
  </si>
  <si>
    <t xml:space="preserve">Анкерные точки с подтверждённой несущей способностью (инж. / П); план спасения (орг. / В)</t>
  </si>
  <si>
    <t xml:space="preserve">Падение предметов на людей внизу</t>
  </si>
  <si>
    <t xml:space="preserve">Персонал внизу</t>
  </si>
  <si>
    <t xml:space="preserve">Травмы головы</t>
  </si>
  <si>
    <t xml:space="preserve">Ограждение зоны по радиусу; каски</t>
  </si>
  <si>
    <t xml:space="preserve">Сумки для инструмента, страховка &gt; 10 кг (инж. / П)</t>
  </si>
  <si>
    <t xml:space="preserve">Неблагоприятные погодные условия</t>
  </si>
  <si>
    <t xml:space="preserve">Падение, переохлаждение</t>
  </si>
  <si>
    <t xml:space="preserve">Стоп-условия (ветер ≥ 15 м/с, гроза, осадки, видимость)</t>
  </si>
  <si>
    <t xml:space="preserve">Контроль прогноза перед сменой (орг. / П)</t>
  </si>
  <si>
    <t xml:space="preserve">Поражение током (ВЛ, электрооборудование)</t>
  </si>
  <si>
    <t xml:space="preserve">F02, F09</t>
  </si>
  <si>
    <t xml:space="preserve">Отключение, отдельный НД на ВЛ</t>
  </si>
  <si>
    <t xml:space="preserve">Контроль безопасного расстояния (орг. / П)</t>
  </si>
  <si>
    <t xml:space="preserve">≥ 1 опасность по описанию работ</t>
  </si>
  <si>
    <t xml:space="preserve">По описанию</t>
  </si>
  <si>
    <t xml:space="preserve">Справочник</t>
  </si>
  <si>
    <t xml:space="preserve">Поле</t>
  </si>
  <si>
    <t xml:space="preserve">Значения</t>
  </si>
  <si>
    <t xml:space="preserve">Используется в правилах</t>
  </si>
  <si>
    <t xml:space="preserve">Категории</t>
  </si>
  <si>
    <t xml:space="preserve">список категорий</t>
  </si>
  <si>
    <t xml:space="preserve">RA12, RA15</t>
  </si>
  <si>
    <t xml:space="preserve">Обязательность</t>
  </si>
  <si>
    <t xml:space="preserve">Всегда / по фактору / нет</t>
  </si>
  <si>
    <t xml:space="preserve">RA12, RA13</t>
  </si>
  <si>
    <t xml:space="preserve">Факторы</t>
  </si>
  <si>
    <t xml:space="preserve">коды F..</t>
  </si>
  <si>
    <t xml:space="preserve">уровень: высокая / средняя / низкая → значение по шкале ОМГ (параметр P13)</t>
  </si>
  <si>
    <t xml:space="preserve">Допустимые «кто пострадает»</t>
  </si>
  <si>
    <t xml:space="preserve">ID справочника</t>
  </si>
  <si>
    <t xml:space="preserve">Допустимые «как пострадают»</t>
  </si>
  <si>
    <t xml:space="preserve">Допустимые меры</t>
  </si>
  <si>
    <t xml:space="preserve">ID справочника мер</t>
  </si>
  <si>
    <t xml:space="preserve">Связанные пункты 5.x</t>
  </si>
  <si>
    <t xml:space="preserve">5.1…5.10</t>
  </si>
  <si>
    <t xml:space="preserve">Критично / Существенно</t>
  </si>
  <si>
    <t xml:space="preserve">Мера контроля</t>
  </si>
  <si>
    <t xml:space="preserve">Уровень иерархии</t>
  </si>
  <si>
    <t xml:space="preserve">устранение / замена / инженерная / организационная / СИЗ</t>
  </si>
  <si>
    <t xml:space="preserve">Влияет на</t>
  </si>
  <si>
    <t xml:space="preserve">П / В / П+В</t>
  </si>
  <si>
    <t xml:space="preserve">Связанные опасности</t>
  </si>
  <si>
    <t xml:space="preserve">список ID опасностей справочника</t>
  </si>
  <si>
    <t xml:space="preserve">Связанный пункт 5.x</t>
  </si>
  <si>
    <t xml:space="preserve">список категорий, где мера применима</t>
  </si>
  <si>
    <t xml:space="preserve">RA15 (для мер)</t>
  </si>
  <si>
    <t xml:space="preserve">Вопрос пользователю</t>
  </si>
  <si>
    <t xml:space="preserve">Источник значения</t>
  </si>
  <si>
    <t xml:space="preserve">По умолчанию (ОМГ)</t>
  </si>
  <si>
    <t xml:space="preserve">F01</t>
  </si>
  <si>
    <t xml:space="preserve">В зоне работ на высоте работают ГПМ / спецтехника?</t>
  </si>
  <si>
    <t xml:space="preserve">VS</t>
  </si>
  <si>
    <t xml:space="preserve">Пользователь</t>
  </si>
  <si>
    <t xml:space="preserve">ВЛ в радиусе 30 м от зоны работ / крана?</t>
  </si>
  <si>
    <t xml:space="preserve">Все</t>
  </si>
  <si>
    <t xml:space="preserve">Пользователь; профиль — «возможно»</t>
  </si>
  <si>
    <t xml:space="preserve">Спросить</t>
  </si>
  <si>
    <t xml:space="preserve">Газоопасная зона (устье, насосная, колодец, ёмкость, траншея на объекте с газом)?</t>
  </si>
  <si>
    <t xml:space="preserve">Описание + профиль + пользователь</t>
  </si>
  <si>
    <t xml:space="preserve">Да для ЦДНГ, ЦППД (профиль)</t>
  </si>
  <si>
    <t xml:space="preserve">F04</t>
  </si>
  <si>
    <t xml:space="preserve">Работы в тёмное время суток?</t>
  </si>
  <si>
    <t xml:space="preserve">Время работ (авто)</t>
  </si>
  <si>
    <t xml:space="preserve">По времени</t>
  </si>
  <si>
    <t xml:space="preserve">F05</t>
  </si>
  <si>
    <t xml:space="preserve">Персонал на высоте ≥ 1,3 м при грузоподъёмных работах?</t>
  </si>
  <si>
    <t xml:space="preserve">GP</t>
  </si>
  <si>
    <t xml:space="preserve">F06</t>
  </si>
  <si>
    <t xml:space="preserve">Спуск в колодец / вертикальный вход?</t>
  </si>
  <si>
    <t xml:space="preserve">ZP, GO, VS</t>
  </si>
  <si>
    <t xml:space="preserve">F07</t>
  </si>
  <si>
    <t xml:space="preserve">Скважина со станком-качалкой?</t>
  </si>
  <si>
    <t xml:space="preserve">GP, VS</t>
  </si>
  <si>
    <t xml:space="preserve">Описание + пользователь</t>
  </si>
  <si>
    <t xml:space="preserve">Трубопроводы / оборудование под давлением в зоне?</t>
  </si>
  <si>
    <t xml:space="preserve">Профиль + пользователь</t>
  </si>
  <si>
    <t xml:space="preserve">Да для ЦДНГ, ЦППД</t>
  </si>
  <si>
    <t xml:space="preserve">F09</t>
  </si>
  <si>
    <t xml:space="preserve">Электрооборудование в зоне?</t>
  </si>
  <si>
    <t xml:space="preserve">Да для объектов промысла</t>
  </si>
  <si>
    <t xml:space="preserve">Ж/д пути в зоне работ?</t>
  </si>
  <si>
    <t xml:space="preserve">Профиль организации</t>
  </si>
  <si>
    <t xml:space="preserve">Нет (ОМГ)</t>
  </si>
  <si>
    <t xml:space="preserve">F11</t>
  </si>
  <si>
    <t xml:space="preserve">Тип ГПМ</t>
  </si>
  <si>
    <t xml:space="preserve">F12</t>
  </si>
  <si>
    <t xml:space="preserve">Рядом работает другая техника / ГПМ?</t>
  </si>
  <si>
    <t xml:space="preserve">F14</t>
  </si>
  <si>
    <t xml:space="preserve">Люлька / автовышка?</t>
  </si>
  <si>
    <t xml:space="preserve">Высота рабочего места</t>
  </si>
  <si>
    <t xml:space="preserve">VS, OG, ZP, GO</t>
  </si>
  <si>
    <t xml:space="preserve">F19</t>
  </si>
  <si>
    <t xml:space="preserve">Совмещение с огневыми работами?</t>
  </si>
  <si>
    <t xml:space="preserve">VS, GP</t>
  </si>
  <si>
    <t xml:space="preserve">Электроинструмент / переносное освещение?</t>
  </si>
  <si>
    <t xml:space="preserve">ZP, VS, OG</t>
  </si>
  <si>
    <t xml:space="preserve">F25</t>
  </si>
  <si>
    <t xml:space="preserve">Предметы &gt; 10 кг на высоте?</t>
  </si>
  <si>
    <t xml:space="preserve">Подземные коммуникации в зоне земляных работ?</t>
  </si>
  <si>
    <t xml:space="preserve">ZR</t>
  </si>
  <si>
    <t xml:space="preserve">Схема + пользователь</t>
  </si>
  <si>
    <t xml:space="preserve">Глубина выемки, м</t>
  </si>
  <si>
    <t xml:space="preserve">Пользователь (число)</t>
  </si>
  <si>
    <t xml:space="preserve">Механизированная разработка грунта?</t>
  </si>
  <si>
    <t xml:space="preserve">F31</t>
  </si>
  <si>
    <t xml:space="preserve">Огневые работы внутри ёмкости / аппарата?</t>
  </si>
  <si>
    <t xml:space="preserve">ZP, OG</t>
  </si>
  <si>
    <t xml:space="preserve">Вскрытие трубопровода / оборудования с продуктом?</t>
  </si>
  <si>
    <t xml:space="preserve">ZR, OG, GO</t>
  </si>
  <si>
    <t xml:space="preserve">F33</t>
  </si>
  <si>
    <t xml:space="preserve">Сероводород на объекте?</t>
  </si>
  <si>
    <t xml:space="preserve">Профиль подразделения</t>
  </si>
  <si>
    <t xml:space="preserve">По профилю</t>
  </si>
  <si>
    <t xml:space="preserve">F34</t>
  </si>
  <si>
    <t xml:space="preserve">Места применения / складирования ЛВЖ, ВВ ближе 50 м?</t>
  </si>
  <si>
    <t xml:space="preserve">OG</t>
  </si>
  <si>
    <t xml:space="preserve">Вид огневых работ: электросварка / газосварка / резка / другое</t>
  </si>
  <si>
    <t xml:space="preserve">F36</t>
  </si>
  <si>
    <t xml:space="preserve">Работы в охранной зоне трубопровода / ЛЭП?</t>
  </si>
  <si>
    <t xml:space="preserve">F38</t>
  </si>
  <si>
    <t xml:space="preserve">Одновременно несколько подрядных организаций на объекте?</t>
  </si>
  <si>
    <t xml:space="preserve">Маркеры (основы слов)</t>
  </si>
  <si>
    <t xml:space="preserve">Разрешено в категориях</t>
  </si>
  <si>
    <t xml:space="preserve">Разрешено при факторах</t>
  </si>
  <si>
    <t xml:space="preserve">Огневые</t>
  </si>
  <si>
    <t xml:space="preserve">сварк, электрод, огарк, искр, газорез, резак, резк, пропан, ацетилен, горелк, пламя, краги, термостойк</t>
  </si>
  <si>
    <t xml:space="preserve">F19, F31, F35</t>
  </si>
  <si>
    <t xml:space="preserve">Грузоподъёмные</t>
  </si>
  <si>
    <t xml:space="preserve">строп, кран, грузоподъ, аутригер, выносн опор, стрел, крюк, траверс, такелаж</t>
  </si>
  <si>
    <t xml:space="preserve">F01, F11, F12</t>
  </si>
  <si>
    <t xml:space="preserve">Высота</t>
  </si>
  <si>
    <t xml:space="preserve">страховочн, привязь, предохранительн пояс, карабин, анкер, люльк, автовышк, подмост, леса, стремянк, приставн лестниц</t>
  </si>
  <si>
    <t xml:space="preserve">F05, F06, F14, F16, F28</t>
  </si>
  <si>
    <t xml:space="preserve">Замкнутое пространство</t>
  </si>
  <si>
    <t xml:space="preserve">горловин, внутрь ёмкост, внутри аппарат, лаз, тренога, сигнально-спасательн, шлангов противогаз</t>
  </si>
  <si>
    <t xml:space="preserve">ZP</t>
  </si>
  <si>
    <t xml:space="preserve">F06, F31</t>
  </si>
  <si>
    <t xml:space="preserve">Газоопасные</t>
  </si>
  <si>
    <t xml:space="preserve">газоанализ, ПДК, НКПР, сероводород, H2S, СИЗОД, противогаз, загазован, продувк, дегазац</t>
  </si>
  <si>
    <t xml:space="preserve">GO, ZP</t>
  </si>
  <si>
    <t xml:space="preserve">F03 (допускается в любой категории при F03)</t>
  </si>
  <si>
    <t xml:space="preserve">Земляные</t>
  </si>
  <si>
    <t xml:space="preserve">траншея, котлован, шурф, откос, крепление стенок, бровк, экскаватор, отвал грунт</t>
  </si>
  <si>
    <t xml:space="preserve">F27, F28</t>
  </si>
  <si>
    <t xml:space="preserve">Электроустановки</t>
  </si>
  <si>
    <t xml:space="preserve">проверка отсутствия напряжения, указатель напряжения, переносное заземление, диэлектрич</t>
  </si>
  <si>
    <t xml:space="preserve">(вид «Электроустановки»)</t>
  </si>
  <si>
    <t xml:space="preserve">F09 (частично)</t>
  </si>
  <si>
    <t xml:space="preserve">Ж/д пути</t>
  </si>
  <si>
    <t xml:space="preserve">рельс, железнодорож, ж/д, дистанци пути, сигнальщик-маневров, башмак тормозн</t>
  </si>
  <si>
    <t xml:space="preserve">Аварийные действия</t>
  </si>
  <si>
    <t xml:space="preserve">при пожаре, при аварии, вызвать скорую, эвакуировать пострадавш, первую помощь</t>
  </si>
  <si>
    <t xml:space="preserve">— (N10)</t>
  </si>
  <si>
    <t xml:space="preserve">Окончание работ</t>
  </si>
  <si>
    <t xml:space="preserve">по окончании работ, после окончания, сдать СИЗ, закрыть наряд, убрать инструмент</t>
  </si>
  <si>
    <t xml:space="preserve">Правило</t>
  </si>
  <si>
    <t xml:space="preserve">Заглушки</t>
  </si>
  <si>
    <t xml:space="preserve">test, тест, testtest, asdf, qwe, йцук, xxx, ххх, ааа, 123, ok, ок, «.», «?», «-» в ядре</t>
  </si>
  <si>
    <t xml:space="preserve">Нормы РФ</t>
  </si>
  <si>
    <t xml:space="preserve">Минтруда России, Минтруд РФ, Ростехнадзор, ФНП, ПОТ РО, СНиП 12-, приказ № 782н, 903н, 835н, 328н, 528, «Правила по охране труда при работе на высоте» (РФ), 15 календарных дней, 1,8 м</t>
  </si>
  <si>
    <t xml:space="preserve">Устаревшие формулировки справочника</t>
  </si>
  <si>
    <t xml:space="preserve">«нормы местных органов» (температура), «смежных пролётах» (цеховая терминология для промысла)</t>
  </si>
  <si>
    <t xml:space="preserve">VS-03, справочник</t>
  </si>
  <si>
    <t xml:space="preserve">Параметр</t>
  </si>
  <si>
    <t xml:space="preserve">Значение</t>
  </si>
  <si>
    <t xml:space="preserve">Источник</t>
  </si>
  <si>
    <t xml:space="preserve">P01</t>
  </si>
  <si>
    <t xml:space="preserve">Порог работы на высоте</t>
  </si>
  <si>
    <t xml:space="preserve">1,3 м (и &lt; 2 м от перепада)</t>
  </si>
  <si>
    <t xml:space="preserve">№ 109, п. 2</t>
  </si>
  <si>
    <t xml:space="preserve">Сверено</t>
  </si>
  <si>
    <t xml:space="preserve">P02</t>
  </si>
  <si>
    <t xml:space="preserve">Ветер — запрет работ на высоте</t>
  </si>
  <si>
    <t xml:space="preserve">≥ 15 м/с</t>
  </si>
  <si>
    <t xml:space="preserve">P03</t>
  </si>
  <si>
    <t xml:space="preserve">Радиус ограждения при высоте работ</t>
  </si>
  <si>
    <t xml:space="preserve">≤10 м → 4 м; ≤20 → 7; ≤50 → 10; ≤100 → 12,5; ≤150 → 20; ≤200 → 25; &gt;200 → 30</t>
  </si>
  <si>
    <t xml:space="preserve">P04</t>
  </si>
  <si>
    <t xml:space="preserve">Предметы на высоте с независимой страховкой</t>
  </si>
  <si>
    <t xml:space="preserve">&gt; 10 кг</t>
  </si>
  <si>
    <t xml:space="preserve">P05</t>
  </si>
  <si>
    <t xml:space="preserve">Огневые работы — удаление от ЛВЖ/ВВ</t>
  </si>
  <si>
    <t xml:space="preserve">≥ 50 м</t>
  </si>
  <si>
    <t xml:space="preserve">P06</t>
  </si>
  <si>
    <t xml:space="preserve">Ограждение траншей, котлованов</t>
  </si>
  <si>
    <t xml:space="preserve">≥ 1 м или защитное покрытие</t>
  </si>
  <si>
    <t xml:space="preserve">P07</t>
  </si>
  <si>
    <t xml:space="preserve">Работа крана вблизи ВЛ — отдельный НД</t>
  </si>
  <si>
    <t xml:space="preserve">30 м</t>
  </si>
  <si>
    <t xml:space="preserve">Правила ГПМ № 359</t>
  </si>
  <si>
    <t xml:space="preserve">Сверить пункт</t>
  </si>
  <si>
    <t xml:space="preserve">P08</t>
  </si>
  <si>
    <t xml:space="preserve">Глубина выемки без крепления по видам грунта</t>
  </si>
  <si>
    <t xml:space="preserve">СН РК 1.03-05-2011</t>
  </si>
  <si>
    <t xml:space="preserve">Сверить и заполнить</t>
  </si>
  <si>
    <t xml:space="preserve">P09</t>
  </si>
  <si>
    <t xml:space="preserve">Тёплый период для правила N03 (Мангистауская обл.)</t>
  </si>
  <si>
    <t xml:space="preserve">Задать</t>
  </si>
  <si>
    <t xml:space="preserve">P10</t>
  </si>
  <si>
    <t xml:space="preserve">Шкалы В, П и пороги зон риска</t>
  </si>
  <si>
    <t xml:space="preserve">Стандарт КМГ / ОМГ</t>
  </si>
  <si>
    <t xml:space="preserve">P11</t>
  </si>
  <si>
    <t xml:space="preserve">Противопожарная служба для огневых работ на объектах ОМГ</t>
  </si>
  <si>
    <t xml:space="preserve">Стандарт ОМГ</t>
  </si>
  <si>
    <t xml:space="preserve">P12</t>
  </si>
  <si>
    <t xml:space="preserve">Порог длины записи (S16)</t>
  </si>
  <si>
    <t xml:space="preserve">1500 символов</t>
  </si>
  <si>
    <t xml:space="preserve">Параметр системы</t>
  </si>
  <si>
    <t xml:space="preserve">P13</t>
  </si>
  <si>
    <t xml:space="preserve">Соответствие уровней тяжести шкале ОМГ</t>
  </si>
  <si>
    <t xml:space="preserve">высокая → ≥ ?, средняя → ≥ ? (для RA21)</t>
  </si>
  <si>
    <t xml:space="preserve">P14</t>
  </si>
  <si>
    <t xml:space="preserve">Порог Р для обязательной связи с разделом 5 (RA18)</t>
  </si>
  <si>
    <t xml:space="preserve">Документ</t>
  </si>
  <si>
    <t xml:space="preserve">Ссылка</t>
  </si>
  <si>
    <t xml:space="preserve">Правила оформления и применения нарядов-допусков при производстве работ в условиях повышенной опасности, приказ МТСЗН РК от 28.08.2020 № 344</t>
  </si>
  <si>
    <t xml:space="preserve">https://adilet.zan.kz/rus/docs/V2000021151</t>
  </si>
  <si>
    <t xml:space="preserve">№ 355</t>
  </si>
  <si>
    <t xml:space="preserve">Правила обеспечения ПБ для ОПО нефтяной и газовой отраслей, приказ МИР РК от 30.12.2014 № 355 (ред. приказа МЧС от 02.10.2025 № 434)</t>
  </si>
  <si>
    <t xml:space="preserve">https://adilet.zan.kz/rus/docs/V1400010250</t>
  </si>
  <si>
    <t xml:space="preserve">№ 109</t>
  </si>
  <si>
    <t xml:space="preserve">Правила по обеспечению безопасности и охраны труда при работе на высоте, приказ МТСЗН РК от 31.03.2022 № 109</t>
  </si>
  <si>
    <t xml:space="preserve">https://adilet.zan.kz/rus/docs/V2200027349</t>
  </si>
  <si>
    <t xml:space="preserve">№ 359</t>
  </si>
  <si>
    <t xml:space="preserve">Правила обеспечения ПБ при эксплуатации грузоподъёмных механизмов, приказ МИР РК от 30.12.2014 № 359</t>
  </si>
  <si>
    <t xml:space="preserve">https://adilet.zan.kz/rus/docs/V1400010332</t>
  </si>
  <si>
    <t xml:space="preserve">ППБ № 55</t>
  </si>
  <si>
    <t xml:space="preserve">Правила пожарной безопасности, приказ МЧС РК от 21.02.2022 № 55</t>
  </si>
  <si>
    <t xml:space="preserve">https://adilet.zan.kz/rus/docs/V2200026867</t>
  </si>
  <si>
    <t xml:space="preserve">V1400010238</t>
  </si>
  <si>
    <t xml:space="preserve">Правила обеспечения ПБ для ОПО по подготовке и переработке газов (используется по аналогии, решение ОМГ)</t>
  </si>
  <si>
    <t xml:space="preserve">https://adilet.zan.kz/rus/docs/V1400010238</t>
  </si>
  <si>
    <t xml:space="preserve">Охрана труда и техника безопасности в строительстве (земляные работы — сверить)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</si>
</sst>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DDEBF7"/>
        <bgColor rgb="FFEDEDED"/>
      </patternFill>
    </fill>
    <fill>
      <patternFill patternType="solid">
        <fgColor rgb="FFE4DFEC"/>
        <bgColor rgb="FFDDEBF7"/>
      </patternFill>
    </fill>
    <fill>
      <patternFill patternType="solid">
        <fgColor rgb="FFC6EFCE"/>
        <bgColor rgb="FFDDEBF7"/>
      </patternFill>
    </fill>
    <fill>
      <patternFill patternType="solid">
        <fgColor rgb="FFEDEDED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DEDE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DDEBF7"/>
      <rgbColor rgb="FF660066"/>
      <rgbColor rgb="FFFF8080"/>
      <rgbColor rgb="FF0066CC"/>
      <rgbColor rgb="FFE4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10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/>
    </row>
    <row r="4" customFormat="false" ht="23.25" hidden="false" customHeight="true" outlineLevel="0" collapsed="false">
      <c r="A4" s="4" t="s">
        <v>2</v>
      </c>
      <c r="B4" s="5" t="s">
        <v>3</v>
      </c>
    </row>
    <row r="5" customFormat="false" ht="23.25" hidden="false" customHeight="true" outlineLevel="0" collapsed="false">
      <c r="A5" s="4" t="s">
        <v>4</v>
      </c>
      <c r="B5" s="5" t="s">
        <v>5</v>
      </c>
    </row>
    <row r="6" customFormat="false" ht="23.25" hidden="false" customHeight="true" outlineLevel="0" collapsed="false">
      <c r="A6" s="4" t="s">
        <v>6</v>
      </c>
      <c r="B6" s="5" t="s">
        <v>7</v>
      </c>
    </row>
    <row r="7" customFormat="false" ht="23.25" hidden="false" customHeight="true" outlineLevel="0" collapsed="false">
      <c r="A7" s="4" t="s">
        <v>8</v>
      </c>
      <c r="B7" s="5" t="s">
        <v>9</v>
      </c>
    </row>
    <row r="8" customFormat="false" ht="34.5" hidden="false" customHeight="true" outlineLevel="0" collapsed="false">
      <c r="A8" s="4" t="s">
        <v>10</v>
      </c>
      <c r="B8" s="5" t="s">
        <v>11</v>
      </c>
    </row>
    <row r="9" customFormat="false" ht="23.25" hidden="false" customHeight="true" outlineLevel="0" collapsed="false">
      <c r="A9" s="4" t="s">
        <v>12</v>
      </c>
      <c r="B9" s="5" t="s">
        <v>13</v>
      </c>
    </row>
    <row r="10" customFormat="false" ht="23.25" hidden="false" customHeight="true" outlineLevel="0" collapsed="false">
      <c r="A10" s="4" t="s">
        <v>14</v>
      </c>
      <c r="B10" s="5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4" min="4" style="1" width="18"/>
    <col collapsed="false" customWidth="true" hidden="false" outlineLevel="0" max="5" min="5" style="1" width="24"/>
  </cols>
  <sheetData>
    <row r="1" customFormat="false" ht="15" hidden="false" customHeight="true" outlineLevel="0" collapsed="false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</row>
    <row r="2" customFormat="false" ht="15" hidden="false" customHeight="true" outlineLevel="0" collapsed="false">
      <c r="A2" s="7" t="s">
        <v>21</v>
      </c>
      <c r="B2" s="7" t="n">
        <f aca="false">COUNTIFS('Пункты по категориям'!$B:$B,A2,'Пункты по категориям'!$E:$E,"Ядро")</f>
        <v>3</v>
      </c>
      <c r="C2" s="7" t="n">
        <f aca="false">COUNTIFS('Пункты по категориям'!$B:$B,A2,'Пункты по категориям'!$E:$E,"Условное")</f>
        <v>7</v>
      </c>
      <c r="D2" s="7" t="n">
        <f aca="false">COUNTIF('Правила категорий'!$B:$B,A2)</f>
        <v>7</v>
      </c>
      <c r="E2" s="7" t="n">
        <f aca="false">COUNTIF('Опасности по категориям'!$A:$A,A2)</f>
        <v>5</v>
      </c>
    </row>
    <row r="3" customFormat="false" ht="15" hidden="false" customHeight="true" outlineLevel="0" collapsed="false">
      <c r="A3" s="7" t="s">
        <v>22</v>
      </c>
      <c r="B3" s="7" t="n">
        <f aca="false">COUNTIFS('Пункты по категориям'!$B:$B,A3,'Пункты по категориям'!$E:$E,"Ядро")</f>
        <v>5</v>
      </c>
      <c r="C3" s="7" t="n">
        <f aca="false">COUNTIFS('Пункты по категориям'!$B:$B,A3,'Пункты по категориям'!$E:$E,"Условное")</f>
        <v>5</v>
      </c>
      <c r="D3" s="7" t="n">
        <f aca="false">COUNTIF('Правила категорий'!$B:$B,A3)</f>
        <v>5</v>
      </c>
      <c r="E3" s="7" t="n">
        <f aca="false">COUNTIF('Опасности по категориям'!$A:$A,A3)</f>
        <v>5</v>
      </c>
    </row>
    <row r="4" customFormat="false" ht="15" hidden="false" customHeight="true" outlineLevel="0" collapsed="false">
      <c r="A4" s="7" t="s">
        <v>23</v>
      </c>
      <c r="B4" s="7" t="n">
        <f aca="false">COUNTIFS('Пункты по категориям'!$B:$B,A4,'Пункты по категориям'!$E:$E,"Ядро")</f>
        <v>8</v>
      </c>
      <c r="C4" s="7" t="n">
        <f aca="false">COUNTIFS('Пункты по категориям'!$B:$B,A4,'Пункты по категориям'!$E:$E,"Условное")</f>
        <v>2</v>
      </c>
      <c r="D4" s="7" t="n">
        <f aca="false">COUNTIF('Правила категорий'!$B:$B,A4)</f>
        <v>6</v>
      </c>
      <c r="E4" s="7" t="n">
        <f aca="false">COUNTIF('Опасности по категориям'!$A:$A,A4)</f>
        <v>4</v>
      </c>
    </row>
    <row r="5" customFormat="false" ht="15" hidden="false" customHeight="true" outlineLevel="0" collapsed="false">
      <c r="A5" s="7" t="s">
        <v>24</v>
      </c>
      <c r="B5" s="7" t="n">
        <f aca="false">COUNTIFS('Пункты по категориям'!$B:$B,A5,'Пункты по категориям'!$E:$E,"Ядро")</f>
        <v>2</v>
      </c>
      <c r="C5" s="7" t="n">
        <f aca="false">COUNTIFS('Пункты по категориям'!$B:$B,A5,'Пункты по категориям'!$E:$E,"Условное")</f>
        <v>8</v>
      </c>
      <c r="D5" s="7" t="n">
        <f aca="false">COUNTIF('Правила категорий'!$B:$B,A5)</f>
        <v>4</v>
      </c>
      <c r="E5" s="7" t="n">
        <f aca="false">COUNTIF('Опасности по категориям'!$A:$A,A5)</f>
        <v>1</v>
      </c>
    </row>
    <row r="6" customFormat="false" ht="15" hidden="false" customHeight="true" outlineLevel="0" collapsed="false">
      <c r="A6" s="7" t="s">
        <v>25</v>
      </c>
      <c r="B6" s="7" t="n">
        <f aca="false">COUNTIFS('Пункты по категориям'!$B:$B,A6,'Пункты по категориям'!$E:$E,"Ядро")</f>
        <v>6</v>
      </c>
      <c r="C6" s="7" t="n">
        <f aca="false">COUNTIFS('Пункты по категориям'!$B:$B,A6,'Пункты по категориям'!$E:$E,"Условное")</f>
        <v>4</v>
      </c>
      <c r="D6" s="7" t="n">
        <f aca="false">COUNTIF('Правила категорий'!$B:$B,A6)</f>
        <v>6</v>
      </c>
      <c r="E6" s="7" t="n">
        <f aca="false">COUNTIF('Опасности по категориям'!$A:$A,A6)</f>
        <v>4</v>
      </c>
    </row>
    <row r="7" customFormat="false" ht="15" hidden="false" customHeight="true" outlineLevel="0" collapsed="false">
      <c r="A7" s="7" t="s">
        <v>26</v>
      </c>
      <c r="B7" s="7" t="n">
        <f aca="false">COUNTIFS('Пункты по категориям'!$B:$B,A7,'Пункты по категориям'!$E:$E,"Ядро")</f>
        <v>8</v>
      </c>
      <c r="C7" s="7" t="n">
        <f aca="false">COUNTIFS('Пункты по категориям'!$B:$B,A7,'Пункты по категориям'!$E:$E,"Условное")</f>
        <v>2</v>
      </c>
      <c r="D7" s="7" t="n">
        <f aca="false">COUNTIF('Правила категорий'!$B:$B,A7)</f>
        <v>5</v>
      </c>
      <c r="E7" s="7" t="n">
        <f aca="false">COUNTIF('Опасности по категориям'!$A:$A,A7)</f>
        <v>3</v>
      </c>
    </row>
    <row r="8" customFormat="false" ht="15" hidden="false" customHeight="true" outlineLevel="0" collapsed="false">
      <c r="A8" s="7" t="s">
        <v>27</v>
      </c>
      <c r="B8" s="7" t="n">
        <f aca="false">COUNTIFS('Пункты по категориям'!$B:$B,A8,'Пункты по категориям'!$E:$E,"Ядро")</f>
        <v>5</v>
      </c>
      <c r="C8" s="7" t="n">
        <f aca="false">COUNTIFS('Пункты по категориям'!$B:$B,A8,'Пункты по категориям'!$E:$E,"Условное")</f>
        <v>5</v>
      </c>
      <c r="D8" s="7" t="n">
        <f aca="false">COUNTIF('Правила категорий'!$B:$B,A8)</f>
        <v>8</v>
      </c>
      <c r="E8" s="7" t="n">
        <f aca="false">COUNTIF('Опасности по категориям'!$A:$A,A8)</f>
        <v>4</v>
      </c>
    </row>
    <row r="10" customFormat="false" ht="15" hidden="false" customHeight="true" outlineLevel="0" collapsed="false">
      <c r="A10" s="4" t="s">
        <v>28</v>
      </c>
      <c r="B10" s="1" t="n">
        <f aca="false">COUNTA(Синтаксис!$A:$A)-1</f>
        <v>17</v>
      </c>
    </row>
    <row r="11" customFormat="false" ht="15" hidden="false" customHeight="true" outlineLevel="0" collapsed="false">
      <c r="A11" s="4" t="s">
        <v>29</v>
      </c>
      <c r="B11" s="1" t="n">
        <f aca="false">COUNTA(Неприменимость!$A:$A)-1</f>
        <v>14</v>
      </c>
    </row>
    <row r="12" customFormat="false" ht="15" hidden="false" customHeight="true" outlineLevel="0" collapsed="false">
      <c r="A12" s="4" t="s">
        <v>30</v>
      </c>
      <c r="B12" s="1" t="n">
        <f aca="false">COUNTA('Оценка рисков — правила'!$A:$A)-1</f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4"/>
    <col collapsed="false" customWidth="true" hidden="false" outlineLevel="0" max="3" min="3" style="1" width="34"/>
    <col collapsed="false" customWidth="true" hidden="false" outlineLevel="0" max="4" min="4" style="1" width="60"/>
    <col collapsed="false" customWidth="true" hidden="false" outlineLevel="0" max="5" min="5" style="1" width="13"/>
    <col collapsed="false" customWidth="true" hidden="false" outlineLevel="0" max="6" min="6" style="1" width="50"/>
    <col collapsed="false" customWidth="true" hidden="false" outlineLevel="0" max="7" min="7" style="1" width="26"/>
    <col collapsed="false" customWidth="true" hidden="false" outlineLevel="0" max="8" min="8" style="1" width="30"/>
  </cols>
  <sheetData>
    <row r="1" customFormat="false" ht="30" hidden="false" customHeight="true" outlineLevel="0" collapsed="false">
      <c r="A1" s="8" t="s">
        <v>31</v>
      </c>
      <c r="B1" s="8" t="s">
        <v>32</v>
      </c>
      <c r="C1" s="8" t="s">
        <v>33</v>
      </c>
      <c r="D1" s="8" t="s">
        <v>34</v>
      </c>
      <c r="E1" s="8" t="s">
        <v>8</v>
      </c>
      <c r="F1" s="8" t="s">
        <v>35</v>
      </c>
      <c r="G1" s="8" t="s">
        <v>36</v>
      </c>
      <c r="H1" s="8" t="s">
        <v>37</v>
      </c>
    </row>
    <row r="2" customFormat="false" ht="34.5" hidden="false" customHeight="true" outlineLevel="0" collapsed="false">
      <c r="A2" s="9" t="s">
        <v>38</v>
      </c>
      <c r="B2" s="9" t="s">
        <v>39</v>
      </c>
      <c r="C2" s="9" t="s">
        <v>40</v>
      </c>
      <c r="D2" s="9" t="s">
        <v>41</v>
      </c>
      <c r="E2" s="10" t="s">
        <v>42</v>
      </c>
      <c r="F2" s="9" t="s">
        <v>43</v>
      </c>
      <c r="G2" s="9" t="s">
        <v>44</v>
      </c>
      <c r="H2" s="9"/>
    </row>
    <row r="3" customFormat="false" ht="45.75" hidden="false" customHeight="true" outlineLevel="0" collapsed="false">
      <c r="A3" s="9" t="s">
        <v>45</v>
      </c>
      <c r="B3" s="9" t="s">
        <v>46</v>
      </c>
      <c r="C3" s="9" t="s">
        <v>47</v>
      </c>
      <c r="D3" s="9" t="s">
        <v>48</v>
      </c>
      <c r="E3" s="10" t="s">
        <v>42</v>
      </c>
      <c r="F3" s="9" t="s">
        <v>49</v>
      </c>
      <c r="G3" s="9" t="s">
        <v>50</v>
      </c>
      <c r="H3" s="9"/>
    </row>
    <row r="4" customFormat="false" ht="23.25" hidden="false" customHeight="true" outlineLevel="0" collapsed="false">
      <c r="A4" s="9" t="s">
        <v>51</v>
      </c>
      <c r="B4" s="9" t="s">
        <v>52</v>
      </c>
      <c r="C4" s="9" t="s">
        <v>53</v>
      </c>
      <c r="D4" s="9" t="s">
        <v>54</v>
      </c>
      <c r="E4" s="10" t="s">
        <v>42</v>
      </c>
      <c r="F4" s="9" t="s">
        <v>55</v>
      </c>
      <c r="G4" s="9" t="s">
        <v>56</v>
      </c>
      <c r="H4" s="9"/>
    </row>
    <row r="5" customFormat="false" ht="23.25" hidden="false" customHeight="true" outlineLevel="0" collapsed="false">
      <c r="A5" s="9" t="s">
        <v>57</v>
      </c>
      <c r="B5" s="9" t="s">
        <v>58</v>
      </c>
      <c r="C5" s="9" t="s">
        <v>59</v>
      </c>
      <c r="D5" s="9" t="s">
        <v>60</v>
      </c>
      <c r="E5" s="11" t="s">
        <v>61</v>
      </c>
      <c r="F5" s="9" t="s">
        <v>62</v>
      </c>
      <c r="G5" s="9" t="s">
        <v>63</v>
      </c>
      <c r="H5" s="9" t="s">
        <v>64</v>
      </c>
    </row>
    <row r="6" customFormat="false" ht="23.25" hidden="false" customHeight="true" outlineLevel="0" collapsed="false">
      <c r="A6" s="9" t="s">
        <v>65</v>
      </c>
      <c r="B6" s="9" t="s">
        <v>66</v>
      </c>
      <c r="C6" s="9" t="s">
        <v>67</v>
      </c>
      <c r="D6" s="9" t="s">
        <v>68</v>
      </c>
      <c r="E6" s="10" t="s">
        <v>42</v>
      </c>
      <c r="F6" s="9" t="s">
        <v>69</v>
      </c>
      <c r="G6" s="9" t="s">
        <v>56</v>
      </c>
      <c r="H6" s="9"/>
    </row>
    <row r="7" customFormat="false" ht="23.25" hidden="false" customHeight="true" outlineLevel="0" collapsed="false">
      <c r="A7" s="9" t="s">
        <v>70</v>
      </c>
      <c r="B7" s="9" t="s">
        <v>71</v>
      </c>
      <c r="C7" s="9" t="s">
        <v>72</v>
      </c>
      <c r="D7" s="9" t="s">
        <v>73</v>
      </c>
      <c r="E7" s="10" t="s">
        <v>42</v>
      </c>
      <c r="F7" s="9" t="s">
        <v>74</v>
      </c>
      <c r="G7" s="9" t="s">
        <v>75</v>
      </c>
      <c r="H7" s="9"/>
    </row>
    <row r="8" customFormat="false" ht="23.25" hidden="false" customHeight="true" outlineLevel="0" collapsed="false">
      <c r="A8" s="9" t="s">
        <v>76</v>
      </c>
      <c r="B8" s="9" t="s">
        <v>77</v>
      </c>
      <c r="C8" s="9" t="s">
        <v>78</v>
      </c>
      <c r="D8" s="9" t="s">
        <v>79</v>
      </c>
      <c r="E8" s="12" t="s">
        <v>80</v>
      </c>
      <c r="F8" s="9" t="s">
        <v>81</v>
      </c>
      <c r="G8" s="9" t="s">
        <v>82</v>
      </c>
      <c r="H8" s="9" t="s">
        <v>83</v>
      </c>
    </row>
    <row r="9" customFormat="false" ht="23.25" hidden="false" customHeight="true" outlineLevel="0" collapsed="false">
      <c r="A9" s="9" t="s">
        <v>84</v>
      </c>
      <c r="B9" s="9" t="s">
        <v>85</v>
      </c>
      <c r="C9" s="9" t="s">
        <v>86</v>
      </c>
      <c r="D9" s="9" t="s">
        <v>87</v>
      </c>
      <c r="E9" s="12" t="s">
        <v>80</v>
      </c>
      <c r="F9" s="9" t="s">
        <v>88</v>
      </c>
      <c r="G9" s="9" t="s">
        <v>82</v>
      </c>
      <c r="H9" s="9"/>
    </row>
    <row r="10" customFormat="false" ht="23.25" hidden="false" customHeight="true" outlineLevel="0" collapsed="false">
      <c r="A10" s="9" t="s">
        <v>89</v>
      </c>
      <c r="B10" s="9" t="s">
        <v>90</v>
      </c>
      <c r="C10" s="9" t="s">
        <v>91</v>
      </c>
      <c r="D10" s="9" t="s">
        <v>92</v>
      </c>
      <c r="E10" s="12" t="s">
        <v>80</v>
      </c>
      <c r="F10" s="9" t="s">
        <v>93</v>
      </c>
      <c r="G10" s="9" t="s">
        <v>82</v>
      </c>
      <c r="H10" s="9" t="s">
        <v>94</v>
      </c>
    </row>
    <row r="11" customFormat="false" ht="23.25" hidden="false" customHeight="true" outlineLevel="0" collapsed="false">
      <c r="A11" s="9" t="s">
        <v>95</v>
      </c>
      <c r="B11" s="9" t="s">
        <v>96</v>
      </c>
      <c r="C11" s="9" t="s">
        <v>97</v>
      </c>
      <c r="D11" s="9" t="s">
        <v>98</v>
      </c>
      <c r="E11" s="12" t="s">
        <v>80</v>
      </c>
      <c r="F11" s="9" t="s">
        <v>99</v>
      </c>
      <c r="G11" s="9" t="s">
        <v>82</v>
      </c>
      <c r="H11" s="9" t="s">
        <v>100</v>
      </c>
    </row>
    <row r="12" customFormat="false" ht="23.25" hidden="false" customHeight="true" outlineLevel="0" collapsed="false">
      <c r="A12" s="9" t="s">
        <v>101</v>
      </c>
      <c r="B12" s="9" t="s">
        <v>102</v>
      </c>
      <c r="C12" s="9" t="s">
        <v>103</v>
      </c>
      <c r="D12" s="9" t="s">
        <v>104</v>
      </c>
      <c r="E12" s="11" t="s">
        <v>61</v>
      </c>
      <c r="F12" s="9" t="s">
        <v>105</v>
      </c>
      <c r="G12" s="9" t="s">
        <v>106</v>
      </c>
      <c r="H12" s="9"/>
    </row>
    <row r="13" customFormat="false" ht="15" hidden="false" customHeight="true" outlineLevel="0" collapsed="false">
      <c r="A13" s="9" t="s">
        <v>107</v>
      </c>
      <c r="B13" s="9" t="s">
        <v>108</v>
      </c>
      <c r="C13" s="9" t="s">
        <v>109</v>
      </c>
      <c r="D13" s="9" t="s">
        <v>110</v>
      </c>
      <c r="E13" s="12" t="s">
        <v>80</v>
      </c>
      <c r="F13" s="9" t="s">
        <v>111</v>
      </c>
      <c r="G13" s="9" t="s">
        <v>82</v>
      </c>
      <c r="H13" s="9" t="s">
        <v>112</v>
      </c>
    </row>
    <row r="14" customFormat="false" ht="23.25" hidden="false" customHeight="true" outlineLevel="0" collapsed="false">
      <c r="A14" s="9" t="s">
        <v>113</v>
      </c>
      <c r="B14" s="9" t="s">
        <v>114</v>
      </c>
      <c r="C14" s="9" t="s">
        <v>115</v>
      </c>
      <c r="D14" s="9" t="s">
        <v>116</v>
      </c>
      <c r="E14" s="9" t="s">
        <v>82</v>
      </c>
      <c r="F14" s="9" t="s">
        <v>82</v>
      </c>
      <c r="G14" s="9" t="s">
        <v>56</v>
      </c>
      <c r="H14" s="9" t="s">
        <v>117</v>
      </c>
    </row>
    <row r="15" customFormat="false" ht="34.5" hidden="false" customHeight="true" outlineLevel="0" collapsed="false">
      <c r="A15" s="9" t="s">
        <v>118</v>
      </c>
      <c r="B15" s="9" t="s">
        <v>119</v>
      </c>
      <c r="C15" s="9" t="s">
        <v>120</v>
      </c>
      <c r="D15" s="9" t="s">
        <v>121</v>
      </c>
      <c r="E15" s="11" t="s">
        <v>61</v>
      </c>
      <c r="F15" s="9" t="s">
        <v>122</v>
      </c>
      <c r="G15" s="9" t="s">
        <v>82</v>
      </c>
      <c r="H15" s="9"/>
    </row>
    <row r="16" customFormat="false" ht="23.25" hidden="false" customHeight="true" outlineLevel="0" collapsed="false">
      <c r="A16" s="9" t="s">
        <v>123</v>
      </c>
      <c r="B16" s="9" t="s">
        <v>124</v>
      </c>
      <c r="C16" s="9" t="s">
        <v>125</v>
      </c>
      <c r="D16" s="9" t="s">
        <v>126</v>
      </c>
      <c r="E16" s="12" t="s">
        <v>80</v>
      </c>
      <c r="F16" s="9" t="s">
        <v>127</v>
      </c>
      <c r="G16" s="9" t="s">
        <v>82</v>
      </c>
      <c r="H16" s="9" t="s">
        <v>112</v>
      </c>
    </row>
    <row r="17" customFormat="false" ht="23.25" hidden="false" customHeight="true" outlineLevel="0" collapsed="false">
      <c r="A17" s="9" t="s">
        <v>128</v>
      </c>
      <c r="B17" s="9" t="s">
        <v>129</v>
      </c>
      <c r="C17" s="9" t="s">
        <v>130</v>
      </c>
      <c r="D17" s="9" t="s">
        <v>131</v>
      </c>
      <c r="E17" s="12" t="s">
        <v>80</v>
      </c>
      <c r="F17" s="9" t="s">
        <v>132</v>
      </c>
      <c r="G17" s="9" t="s">
        <v>82</v>
      </c>
      <c r="H17" s="9" t="s">
        <v>133</v>
      </c>
    </row>
    <row r="18" customFormat="false" ht="23.25" hidden="false" customHeight="true" outlineLevel="0" collapsed="false">
      <c r="A18" s="9" t="s">
        <v>134</v>
      </c>
      <c r="B18" s="9" t="s">
        <v>135</v>
      </c>
      <c r="C18" s="9" t="s">
        <v>136</v>
      </c>
      <c r="D18" s="9" t="s">
        <v>137</v>
      </c>
      <c r="E18" s="11" t="s">
        <v>61</v>
      </c>
      <c r="F18" s="9" t="s">
        <v>138</v>
      </c>
      <c r="G18" s="9" t="s">
        <v>82</v>
      </c>
      <c r="H18" s="9"/>
    </row>
  </sheetData>
  <autoFilter ref="A1:H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6"/>
    <col collapsed="false" customWidth="true" hidden="false" outlineLevel="0" max="4" min="3" style="1" width="40"/>
    <col collapsed="false" customWidth="true" hidden="false" outlineLevel="0" max="5" min="5" style="1" width="13"/>
    <col collapsed="false" customWidth="true" hidden="false" outlineLevel="0" max="6" min="6" style="1" width="50"/>
    <col collapsed="false" customWidth="true" hidden="false" outlineLevel="0" max="7" min="7" style="1" width="26"/>
    <col collapsed="false" customWidth="true" hidden="false" outlineLevel="0" max="8" min="8" style="1" width="40"/>
  </cols>
  <sheetData>
    <row r="1" customFormat="false" ht="30" hidden="false" customHeight="true" outlineLevel="0" collapsed="false">
      <c r="A1" s="8" t="s">
        <v>31</v>
      </c>
      <c r="B1" s="8" t="s">
        <v>32</v>
      </c>
      <c r="C1" s="8" t="s">
        <v>33</v>
      </c>
      <c r="D1" s="8" t="s">
        <v>139</v>
      </c>
      <c r="E1" s="8" t="s">
        <v>8</v>
      </c>
      <c r="F1" s="8" t="s">
        <v>35</v>
      </c>
      <c r="G1" s="8" t="s">
        <v>36</v>
      </c>
      <c r="H1" s="8" t="s">
        <v>140</v>
      </c>
    </row>
    <row r="2" customFormat="false" ht="34.5" hidden="false" customHeight="true" outlineLevel="0" collapsed="false">
      <c r="A2" s="9" t="s">
        <v>141</v>
      </c>
      <c r="B2" s="9" t="s">
        <v>142</v>
      </c>
      <c r="C2" s="9" t="s">
        <v>143</v>
      </c>
      <c r="D2" s="9" t="s">
        <v>144</v>
      </c>
      <c r="E2" s="11" t="s">
        <v>61</v>
      </c>
      <c r="F2" s="9" t="s">
        <v>145</v>
      </c>
      <c r="G2" s="9" t="s">
        <v>106</v>
      </c>
      <c r="H2" s="9" t="s">
        <v>146</v>
      </c>
    </row>
    <row r="3" customFormat="false" ht="23.25" hidden="false" customHeight="true" outlineLevel="0" collapsed="false">
      <c r="A3" s="9" t="s">
        <v>147</v>
      </c>
      <c r="B3" s="9" t="s">
        <v>148</v>
      </c>
      <c r="C3" s="9" t="s">
        <v>149</v>
      </c>
      <c r="D3" s="9" t="s">
        <v>150</v>
      </c>
      <c r="E3" s="12" t="s">
        <v>80</v>
      </c>
      <c r="F3" s="9" t="s">
        <v>151</v>
      </c>
      <c r="G3" s="9" t="s">
        <v>106</v>
      </c>
      <c r="H3" s="9"/>
    </row>
    <row r="4" customFormat="false" ht="45.75" hidden="false" customHeight="true" outlineLevel="0" collapsed="false">
      <c r="A4" s="9" t="s">
        <v>152</v>
      </c>
      <c r="B4" s="9" t="s">
        <v>153</v>
      </c>
      <c r="C4" s="9" t="s">
        <v>154</v>
      </c>
      <c r="D4" s="9" t="s">
        <v>155</v>
      </c>
      <c r="E4" s="12" t="s">
        <v>80</v>
      </c>
      <c r="F4" s="9" t="s">
        <v>156</v>
      </c>
      <c r="G4" s="9" t="s">
        <v>157</v>
      </c>
      <c r="H4" s="9" t="s">
        <v>158</v>
      </c>
    </row>
    <row r="5" customFormat="false" ht="34.5" hidden="false" customHeight="true" outlineLevel="0" collapsed="false">
      <c r="A5" s="9" t="s">
        <v>159</v>
      </c>
      <c r="B5" s="9" t="s">
        <v>160</v>
      </c>
      <c r="C5" s="9" t="s">
        <v>161</v>
      </c>
      <c r="D5" s="9" t="s">
        <v>162</v>
      </c>
      <c r="E5" s="12" t="s">
        <v>80</v>
      </c>
      <c r="F5" s="9" t="s">
        <v>163</v>
      </c>
      <c r="G5" s="9" t="s">
        <v>164</v>
      </c>
      <c r="H5" s="9"/>
    </row>
    <row r="6" customFormat="false" ht="34.5" hidden="false" customHeight="true" outlineLevel="0" collapsed="false">
      <c r="A6" s="9" t="s">
        <v>165</v>
      </c>
      <c r="B6" s="9" t="s">
        <v>166</v>
      </c>
      <c r="C6" s="9" t="s">
        <v>167</v>
      </c>
      <c r="D6" s="9" t="s">
        <v>168</v>
      </c>
      <c r="E6" s="12" t="s">
        <v>80</v>
      </c>
      <c r="F6" s="9" t="s">
        <v>169</v>
      </c>
      <c r="G6" s="9" t="s">
        <v>170</v>
      </c>
      <c r="H6" s="9"/>
    </row>
    <row r="7" customFormat="false" ht="34.5" hidden="false" customHeight="true" outlineLevel="0" collapsed="false">
      <c r="A7" s="9" t="s">
        <v>171</v>
      </c>
      <c r="B7" s="9" t="s">
        <v>172</v>
      </c>
      <c r="C7" s="9" t="s">
        <v>173</v>
      </c>
      <c r="D7" s="9" t="s">
        <v>174</v>
      </c>
      <c r="E7" s="10" t="s">
        <v>42</v>
      </c>
      <c r="F7" s="9" t="s">
        <v>175</v>
      </c>
      <c r="G7" s="9" t="s">
        <v>176</v>
      </c>
      <c r="H7" s="9"/>
    </row>
    <row r="8" customFormat="false" ht="34.5" hidden="false" customHeight="true" outlineLevel="0" collapsed="false">
      <c r="A8" s="9" t="s">
        <v>177</v>
      </c>
      <c r="B8" s="9" t="s">
        <v>178</v>
      </c>
      <c r="C8" s="9" t="s">
        <v>179</v>
      </c>
      <c r="D8" s="9" t="s">
        <v>180</v>
      </c>
      <c r="E8" s="11" t="s">
        <v>61</v>
      </c>
      <c r="F8" s="9" t="s">
        <v>181</v>
      </c>
      <c r="G8" s="9" t="s">
        <v>182</v>
      </c>
      <c r="H8" s="9" t="s">
        <v>183</v>
      </c>
    </row>
    <row r="9" customFormat="false" ht="23.25" hidden="false" customHeight="true" outlineLevel="0" collapsed="false">
      <c r="A9" s="9" t="s">
        <v>184</v>
      </c>
      <c r="B9" s="9" t="s">
        <v>185</v>
      </c>
      <c r="C9" s="9" t="s">
        <v>186</v>
      </c>
      <c r="D9" s="9" t="s">
        <v>187</v>
      </c>
      <c r="E9" s="13" t="s">
        <v>188</v>
      </c>
      <c r="F9" s="9" t="s">
        <v>189</v>
      </c>
      <c r="G9" s="9" t="s">
        <v>82</v>
      </c>
      <c r="H9" s="9" t="s">
        <v>190</v>
      </c>
    </row>
    <row r="10" customFormat="false" ht="23.25" hidden="false" customHeight="true" outlineLevel="0" collapsed="false">
      <c r="A10" s="9" t="s">
        <v>191</v>
      </c>
      <c r="B10" s="9" t="s">
        <v>192</v>
      </c>
      <c r="C10" s="9" t="s">
        <v>193</v>
      </c>
      <c r="D10" s="9" t="s">
        <v>194</v>
      </c>
      <c r="E10" s="11" t="s">
        <v>61</v>
      </c>
      <c r="F10" s="9" t="s">
        <v>195</v>
      </c>
      <c r="G10" s="9" t="s">
        <v>182</v>
      </c>
      <c r="H10" s="9" t="s">
        <v>196</v>
      </c>
    </row>
    <row r="11" customFormat="false" ht="34.5" hidden="false" customHeight="true" outlineLevel="0" collapsed="false">
      <c r="A11" s="9" t="s">
        <v>197</v>
      </c>
      <c r="B11" s="9" t="s">
        <v>198</v>
      </c>
      <c r="C11" s="9" t="s">
        <v>199</v>
      </c>
      <c r="D11" s="9" t="s">
        <v>200</v>
      </c>
      <c r="E11" s="12" t="s">
        <v>80</v>
      </c>
      <c r="F11" s="9" t="s">
        <v>201</v>
      </c>
      <c r="G11" s="9" t="s">
        <v>106</v>
      </c>
      <c r="H11" s="9"/>
    </row>
    <row r="12" customFormat="false" ht="34.5" hidden="false" customHeight="true" outlineLevel="0" collapsed="false">
      <c r="A12" s="9" t="s">
        <v>202</v>
      </c>
      <c r="B12" s="9" t="s">
        <v>203</v>
      </c>
      <c r="C12" s="9" t="s">
        <v>204</v>
      </c>
      <c r="D12" s="9" t="s">
        <v>205</v>
      </c>
      <c r="E12" s="11" t="s">
        <v>61</v>
      </c>
      <c r="F12" s="9" t="s">
        <v>206</v>
      </c>
      <c r="G12" s="9" t="s">
        <v>207</v>
      </c>
      <c r="H12" s="9"/>
    </row>
    <row r="13" customFormat="false" ht="57" hidden="false" customHeight="true" outlineLevel="0" collapsed="false">
      <c r="A13" s="9" t="s">
        <v>208</v>
      </c>
      <c r="B13" s="9" t="s">
        <v>209</v>
      </c>
      <c r="C13" s="9" t="s">
        <v>210</v>
      </c>
      <c r="D13" s="9" t="s">
        <v>211</v>
      </c>
      <c r="E13" s="10" t="s">
        <v>42</v>
      </c>
      <c r="F13" s="9" t="s">
        <v>212</v>
      </c>
      <c r="G13" s="9" t="s">
        <v>213</v>
      </c>
      <c r="H13" s="9"/>
    </row>
    <row r="14" customFormat="false" ht="23.25" hidden="false" customHeight="true" outlineLevel="0" collapsed="false">
      <c r="A14" s="9" t="s">
        <v>214</v>
      </c>
      <c r="B14" s="9" t="s">
        <v>215</v>
      </c>
      <c r="C14" s="9" t="s">
        <v>216</v>
      </c>
      <c r="D14" s="9" t="s">
        <v>217</v>
      </c>
      <c r="E14" s="10" t="s">
        <v>42</v>
      </c>
      <c r="F14" s="9" t="s">
        <v>218</v>
      </c>
      <c r="G14" s="9" t="s">
        <v>182</v>
      </c>
      <c r="H14" s="9" t="s">
        <v>219</v>
      </c>
    </row>
    <row r="15" customFormat="false" ht="15" hidden="false" customHeight="true" outlineLevel="0" collapsed="false">
      <c r="A15" s="9" t="s">
        <v>220</v>
      </c>
      <c r="B15" s="9" t="s">
        <v>221</v>
      </c>
      <c r="C15" s="9" t="s">
        <v>222</v>
      </c>
      <c r="D15" s="9" t="s">
        <v>223</v>
      </c>
      <c r="E15" s="13" t="s">
        <v>188</v>
      </c>
      <c r="F15" s="9" t="s">
        <v>224</v>
      </c>
      <c r="G15" s="9" t="s">
        <v>82</v>
      </c>
      <c r="H15" s="9" t="s">
        <v>225</v>
      </c>
    </row>
  </sheetData>
  <autoFilter ref="A1:H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4"/>
    <col collapsed="false" customWidth="true" hidden="false" outlineLevel="0" max="3" min="3" style="1" width="7"/>
    <col collapsed="false" customWidth="true" hidden="false" outlineLevel="0" max="4" min="4" style="1" width="26"/>
    <col collapsed="false" customWidth="true" hidden="false" outlineLevel="0" max="5" min="5" style="1" width="12"/>
    <col collapsed="false" customWidth="true" hidden="false" outlineLevel="0" max="6" min="6" style="1" width="16"/>
    <col collapsed="false" customWidth="true" hidden="false" outlineLevel="0" max="7" min="7" style="1" width="55"/>
    <col collapsed="false" customWidth="true" hidden="false" outlineLevel="0" max="8" min="8" style="1" width="14"/>
    <col collapsed="false" customWidth="true" hidden="false" outlineLevel="0" max="9" min="9" style="1" width="40"/>
  </cols>
  <sheetData>
    <row r="1" customFormat="false" ht="30" hidden="false" customHeight="true" outlineLevel="0" collapsed="false">
      <c r="A1" s="8" t="s">
        <v>31</v>
      </c>
      <c r="B1" s="8" t="s">
        <v>16</v>
      </c>
      <c r="C1" s="8" t="s">
        <v>226</v>
      </c>
      <c r="D1" s="8" t="s">
        <v>227</v>
      </c>
      <c r="E1" s="8" t="s">
        <v>228</v>
      </c>
      <c r="F1" s="8" t="s">
        <v>229</v>
      </c>
      <c r="G1" s="8" t="s">
        <v>230</v>
      </c>
      <c r="H1" s="8" t="s">
        <v>231</v>
      </c>
      <c r="I1" s="8" t="s">
        <v>36</v>
      </c>
    </row>
    <row r="2" customFormat="false" ht="15" hidden="false" customHeight="true" outlineLevel="0" collapsed="false">
      <c r="A2" s="9" t="s">
        <v>232</v>
      </c>
      <c r="B2" s="9" t="s">
        <v>21</v>
      </c>
      <c r="C2" s="9" t="s">
        <v>233</v>
      </c>
      <c r="D2" s="9" t="s">
        <v>234</v>
      </c>
      <c r="E2" s="12" t="s">
        <v>235</v>
      </c>
      <c r="F2" s="9" t="s">
        <v>236</v>
      </c>
      <c r="G2" s="9" t="s">
        <v>237</v>
      </c>
      <c r="H2" s="11" t="s">
        <v>61</v>
      </c>
      <c r="I2" s="9" t="s">
        <v>238</v>
      </c>
    </row>
    <row r="3" customFormat="false" ht="23.25" hidden="false" customHeight="true" outlineLevel="0" collapsed="false">
      <c r="A3" s="9" t="s">
        <v>239</v>
      </c>
      <c r="B3" s="9" t="s">
        <v>21</v>
      </c>
      <c r="C3" s="9" t="s">
        <v>240</v>
      </c>
      <c r="D3" s="9" t="s">
        <v>241</v>
      </c>
      <c r="E3" s="12" t="s">
        <v>235</v>
      </c>
      <c r="F3" s="9" t="s">
        <v>242</v>
      </c>
      <c r="G3" s="9" t="s">
        <v>243</v>
      </c>
      <c r="H3" s="10" t="s">
        <v>42</v>
      </c>
      <c r="I3" s="9" t="s">
        <v>244</v>
      </c>
    </row>
    <row r="4" customFormat="false" ht="23.25" hidden="false" customHeight="true" outlineLevel="0" collapsed="false">
      <c r="A4" s="9" t="s">
        <v>245</v>
      </c>
      <c r="B4" s="9" t="s">
        <v>21</v>
      </c>
      <c r="C4" s="9" t="s">
        <v>246</v>
      </c>
      <c r="D4" s="9" t="s">
        <v>247</v>
      </c>
      <c r="E4" s="12" t="s">
        <v>235</v>
      </c>
      <c r="F4" s="9" t="s">
        <v>248</v>
      </c>
      <c r="G4" s="9" t="s">
        <v>249</v>
      </c>
      <c r="H4" s="11" t="s">
        <v>61</v>
      </c>
      <c r="I4" s="9" t="s">
        <v>238</v>
      </c>
    </row>
    <row r="5" customFormat="false" ht="23.25" hidden="false" customHeight="true" outlineLevel="0" collapsed="false">
      <c r="A5" s="9" t="s">
        <v>250</v>
      </c>
      <c r="B5" s="9" t="s">
        <v>21</v>
      </c>
      <c r="C5" s="9" t="s">
        <v>251</v>
      </c>
      <c r="D5" s="9" t="s">
        <v>252</v>
      </c>
      <c r="E5" s="12" t="s">
        <v>235</v>
      </c>
      <c r="F5" s="9" t="s">
        <v>253</v>
      </c>
      <c r="G5" s="9" t="s">
        <v>254</v>
      </c>
      <c r="H5" s="10" t="s">
        <v>42</v>
      </c>
      <c r="I5" s="9" t="s">
        <v>255</v>
      </c>
    </row>
    <row r="6" customFormat="false" ht="23.25" hidden="false" customHeight="true" outlineLevel="0" collapsed="false">
      <c r="A6" s="9" t="s">
        <v>256</v>
      </c>
      <c r="B6" s="9" t="s">
        <v>21</v>
      </c>
      <c r="C6" s="9" t="s">
        <v>257</v>
      </c>
      <c r="D6" s="9" t="s">
        <v>258</v>
      </c>
      <c r="E6" s="14" t="s">
        <v>17</v>
      </c>
      <c r="F6" s="9"/>
      <c r="G6" s="9" t="s">
        <v>259</v>
      </c>
      <c r="H6" s="10" t="s">
        <v>42</v>
      </c>
      <c r="I6" s="9" t="s">
        <v>260</v>
      </c>
    </row>
    <row r="7" customFormat="false" ht="34.5" hidden="false" customHeight="true" outlineLevel="0" collapsed="false">
      <c r="A7" s="9" t="s">
        <v>261</v>
      </c>
      <c r="B7" s="9" t="s">
        <v>21</v>
      </c>
      <c r="C7" s="9" t="s">
        <v>262</v>
      </c>
      <c r="D7" s="9" t="s">
        <v>263</v>
      </c>
      <c r="E7" s="12" t="s">
        <v>235</v>
      </c>
      <c r="F7" s="9" t="s">
        <v>264</v>
      </c>
      <c r="G7" s="9" t="s">
        <v>265</v>
      </c>
      <c r="H7" s="10" t="s">
        <v>42</v>
      </c>
      <c r="I7" s="9" t="s">
        <v>266</v>
      </c>
    </row>
    <row r="8" customFormat="false" ht="34.5" hidden="false" customHeight="true" outlineLevel="0" collapsed="false">
      <c r="A8" s="9" t="s">
        <v>267</v>
      </c>
      <c r="B8" s="9" t="s">
        <v>21</v>
      </c>
      <c r="C8" s="9" t="s">
        <v>268</v>
      </c>
      <c r="D8" s="9" t="s">
        <v>269</v>
      </c>
      <c r="E8" s="14" t="s">
        <v>17</v>
      </c>
      <c r="F8" s="9"/>
      <c r="G8" s="9" t="s">
        <v>270</v>
      </c>
      <c r="H8" s="10" t="s">
        <v>42</v>
      </c>
      <c r="I8" s="9" t="s">
        <v>271</v>
      </c>
    </row>
    <row r="9" customFormat="false" ht="23.25" hidden="false" customHeight="true" outlineLevel="0" collapsed="false">
      <c r="A9" s="9" t="s">
        <v>272</v>
      </c>
      <c r="B9" s="9" t="s">
        <v>21</v>
      </c>
      <c r="C9" s="9" t="s">
        <v>273</v>
      </c>
      <c r="D9" s="9" t="s">
        <v>274</v>
      </c>
      <c r="E9" s="12" t="s">
        <v>235</v>
      </c>
      <c r="F9" s="9" t="s">
        <v>275</v>
      </c>
      <c r="G9" s="9" t="s">
        <v>276</v>
      </c>
      <c r="H9" s="11" t="s">
        <v>61</v>
      </c>
      <c r="I9" s="9" t="s">
        <v>56</v>
      </c>
    </row>
    <row r="10" customFormat="false" ht="15" hidden="false" customHeight="true" outlineLevel="0" collapsed="false">
      <c r="A10" s="9" t="s">
        <v>277</v>
      </c>
      <c r="B10" s="9" t="s">
        <v>21</v>
      </c>
      <c r="C10" s="9" t="s">
        <v>278</v>
      </c>
      <c r="D10" s="9" t="s">
        <v>279</v>
      </c>
      <c r="E10" s="14" t="s">
        <v>17</v>
      </c>
      <c r="F10" s="9"/>
      <c r="G10" s="9" t="s">
        <v>280</v>
      </c>
      <c r="H10" s="11" t="s">
        <v>61</v>
      </c>
      <c r="I10" s="9" t="s">
        <v>281</v>
      </c>
    </row>
    <row r="11" customFormat="false" ht="34.5" hidden="false" customHeight="true" outlineLevel="0" collapsed="false">
      <c r="A11" s="9" t="s">
        <v>282</v>
      </c>
      <c r="B11" s="9" t="s">
        <v>21</v>
      </c>
      <c r="C11" s="9" t="s">
        <v>283</v>
      </c>
      <c r="D11" s="9" t="s">
        <v>284</v>
      </c>
      <c r="E11" s="12" t="s">
        <v>235</v>
      </c>
      <c r="F11" s="9" t="s">
        <v>285</v>
      </c>
      <c r="G11" s="9" t="s">
        <v>286</v>
      </c>
      <c r="H11" s="11" t="s">
        <v>61</v>
      </c>
      <c r="I11" s="9" t="s">
        <v>287</v>
      </c>
    </row>
    <row r="12" customFormat="false" ht="15" hidden="false" customHeight="true" outlineLevel="0" collapsed="false">
      <c r="A12" s="9" t="s">
        <v>288</v>
      </c>
      <c r="B12" s="9" t="s">
        <v>22</v>
      </c>
      <c r="C12" s="9" t="s">
        <v>233</v>
      </c>
      <c r="D12" s="9" t="s">
        <v>234</v>
      </c>
      <c r="E12" s="12" t="s">
        <v>235</v>
      </c>
      <c r="F12" s="9" t="s">
        <v>289</v>
      </c>
      <c r="G12" s="9" t="s">
        <v>290</v>
      </c>
      <c r="H12" s="11" t="s">
        <v>61</v>
      </c>
      <c r="I12" s="9" t="s">
        <v>238</v>
      </c>
    </row>
    <row r="13" customFormat="false" ht="23.25" hidden="false" customHeight="true" outlineLevel="0" collapsed="false">
      <c r="A13" s="9" t="s">
        <v>291</v>
      </c>
      <c r="B13" s="9" t="s">
        <v>22</v>
      </c>
      <c r="C13" s="9" t="s">
        <v>240</v>
      </c>
      <c r="D13" s="9" t="s">
        <v>241</v>
      </c>
      <c r="E13" s="12" t="s">
        <v>235</v>
      </c>
      <c r="F13" s="9" t="s">
        <v>292</v>
      </c>
      <c r="G13" s="9" t="s">
        <v>293</v>
      </c>
      <c r="H13" s="10" t="s">
        <v>42</v>
      </c>
      <c r="I13" s="9" t="s">
        <v>294</v>
      </c>
    </row>
    <row r="14" customFormat="false" ht="23.25" hidden="false" customHeight="true" outlineLevel="0" collapsed="false">
      <c r="A14" s="9" t="s">
        <v>295</v>
      </c>
      <c r="B14" s="9" t="s">
        <v>22</v>
      </c>
      <c r="C14" s="9" t="s">
        <v>246</v>
      </c>
      <c r="D14" s="9" t="s">
        <v>247</v>
      </c>
      <c r="E14" s="14" t="s">
        <v>17</v>
      </c>
      <c r="F14" s="9"/>
      <c r="G14" s="9" t="s">
        <v>296</v>
      </c>
      <c r="H14" s="10" t="s">
        <v>42</v>
      </c>
      <c r="I14" s="9" t="s">
        <v>238</v>
      </c>
    </row>
    <row r="15" customFormat="false" ht="23.25" hidden="false" customHeight="true" outlineLevel="0" collapsed="false">
      <c r="A15" s="9" t="s">
        <v>297</v>
      </c>
      <c r="B15" s="9" t="s">
        <v>22</v>
      </c>
      <c r="C15" s="9" t="s">
        <v>251</v>
      </c>
      <c r="D15" s="9" t="s">
        <v>252</v>
      </c>
      <c r="E15" s="12" t="s">
        <v>235</v>
      </c>
      <c r="F15" s="9" t="s">
        <v>253</v>
      </c>
      <c r="G15" s="9" t="s">
        <v>298</v>
      </c>
      <c r="H15" s="10" t="s">
        <v>42</v>
      </c>
      <c r="I15" s="9" t="s">
        <v>299</v>
      </c>
    </row>
    <row r="16" customFormat="false" ht="23.25" hidden="false" customHeight="true" outlineLevel="0" collapsed="false">
      <c r="A16" s="9" t="s">
        <v>300</v>
      </c>
      <c r="B16" s="9" t="s">
        <v>22</v>
      </c>
      <c r="C16" s="9" t="s">
        <v>257</v>
      </c>
      <c r="D16" s="9" t="s">
        <v>258</v>
      </c>
      <c r="E16" s="14" t="s">
        <v>17</v>
      </c>
      <c r="F16" s="9"/>
      <c r="G16" s="9" t="s">
        <v>301</v>
      </c>
      <c r="H16" s="10" t="s">
        <v>42</v>
      </c>
      <c r="I16" s="9" t="s">
        <v>302</v>
      </c>
    </row>
    <row r="17" customFormat="false" ht="23.25" hidden="false" customHeight="true" outlineLevel="0" collapsed="false">
      <c r="A17" s="9" t="s">
        <v>303</v>
      </c>
      <c r="B17" s="9" t="s">
        <v>22</v>
      </c>
      <c r="C17" s="9" t="s">
        <v>262</v>
      </c>
      <c r="D17" s="9" t="s">
        <v>263</v>
      </c>
      <c r="E17" s="12" t="s">
        <v>235</v>
      </c>
      <c r="F17" s="9" t="s">
        <v>304</v>
      </c>
      <c r="G17" s="9" t="s">
        <v>305</v>
      </c>
      <c r="H17" s="10" t="s">
        <v>42</v>
      </c>
      <c r="I17" s="9" t="s">
        <v>306</v>
      </c>
    </row>
    <row r="18" customFormat="false" ht="23.25" hidden="false" customHeight="true" outlineLevel="0" collapsed="false">
      <c r="A18" s="9" t="s">
        <v>307</v>
      </c>
      <c r="B18" s="9" t="s">
        <v>22</v>
      </c>
      <c r="C18" s="9" t="s">
        <v>268</v>
      </c>
      <c r="D18" s="9" t="s">
        <v>269</v>
      </c>
      <c r="E18" s="14" t="s">
        <v>17</v>
      </c>
      <c r="F18" s="9"/>
      <c r="G18" s="9" t="s">
        <v>308</v>
      </c>
      <c r="H18" s="11" t="s">
        <v>61</v>
      </c>
      <c r="I18" s="9" t="s">
        <v>238</v>
      </c>
    </row>
    <row r="19" customFormat="false" ht="23.25" hidden="false" customHeight="true" outlineLevel="0" collapsed="false">
      <c r="A19" s="9" t="s">
        <v>309</v>
      </c>
      <c r="B19" s="9" t="s">
        <v>22</v>
      </c>
      <c r="C19" s="9" t="s">
        <v>273</v>
      </c>
      <c r="D19" s="9" t="s">
        <v>274</v>
      </c>
      <c r="E19" s="12" t="s">
        <v>235</v>
      </c>
      <c r="F19" s="9" t="s">
        <v>275</v>
      </c>
      <c r="G19" s="9" t="s">
        <v>276</v>
      </c>
      <c r="H19" s="11" t="s">
        <v>61</v>
      </c>
      <c r="I19" s="9" t="s">
        <v>56</v>
      </c>
    </row>
    <row r="20" customFormat="false" ht="15" hidden="false" customHeight="true" outlineLevel="0" collapsed="false">
      <c r="A20" s="9" t="s">
        <v>310</v>
      </c>
      <c r="B20" s="9" t="s">
        <v>22</v>
      </c>
      <c r="C20" s="9" t="s">
        <v>278</v>
      </c>
      <c r="D20" s="9" t="s">
        <v>279</v>
      </c>
      <c r="E20" s="14" t="s">
        <v>17</v>
      </c>
      <c r="F20" s="9"/>
      <c r="G20" s="9" t="s">
        <v>311</v>
      </c>
      <c r="H20" s="11" t="s">
        <v>61</v>
      </c>
      <c r="I20" s="9" t="s">
        <v>238</v>
      </c>
    </row>
    <row r="21" customFormat="false" ht="23.25" hidden="false" customHeight="true" outlineLevel="0" collapsed="false">
      <c r="A21" s="9" t="s">
        <v>312</v>
      </c>
      <c r="B21" s="9" t="s">
        <v>22</v>
      </c>
      <c r="C21" s="9" t="s">
        <v>283</v>
      </c>
      <c r="D21" s="9" t="s">
        <v>284</v>
      </c>
      <c r="E21" s="14" t="s">
        <v>17</v>
      </c>
      <c r="F21" s="9"/>
      <c r="G21" s="9" t="s">
        <v>313</v>
      </c>
      <c r="H21" s="11" t="s">
        <v>61</v>
      </c>
      <c r="I21" s="9" t="s">
        <v>314</v>
      </c>
    </row>
    <row r="22" customFormat="false" ht="23.25" hidden="false" customHeight="true" outlineLevel="0" collapsed="false">
      <c r="A22" s="9" t="s">
        <v>315</v>
      </c>
      <c r="B22" s="9" t="s">
        <v>23</v>
      </c>
      <c r="C22" s="9" t="s">
        <v>233</v>
      </c>
      <c r="D22" s="9" t="s">
        <v>234</v>
      </c>
      <c r="E22" s="14" t="s">
        <v>17</v>
      </c>
      <c r="F22" s="9"/>
      <c r="G22" s="9" t="s">
        <v>316</v>
      </c>
      <c r="H22" s="10" t="s">
        <v>42</v>
      </c>
      <c r="I22" s="9" t="s">
        <v>317</v>
      </c>
    </row>
    <row r="23" customFormat="false" ht="23.25" hidden="false" customHeight="true" outlineLevel="0" collapsed="false">
      <c r="A23" s="9" t="s">
        <v>318</v>
      </c>
      <c r="B23" s="9" t="s">
        <v>23</v>
      </c>
      <c r="C23" s="9" t="s">
        <v>240</v>
      </c>
      <c r="D23" s="9" t="s">
        <v>241</v>
      </c>
      <c r="E23" s="14" t="s">
        <v>17</v>
      </c>
      <c r="F23" s="9"/>
      <c r="G23" s="9" t="s">
        <v>319</v>
      </c>
      <c r="H23" s="10" t="s">
        <v>42</v>
      </c>
      <c r="I23" s="9" t="s">
        <v>317</v>
      </c>
    </row>
    <row r="24" customFormat="false" ht="23.25" hidden="false" customHeight="true" outlineLevel="0" collapsed="false">
      <c r="A24" s="9" t="s">
        <v>320</v>
      </c>
      <c r="B24" s="9" t="s">
        <v>23</v>
      </c>
      <c r="C24" s="9" t="s">
        <v>246</v>
      </c>
      <c r="D24" s="9" t="s">
        <v>247</v>
      </c>
      <c r="E24" s="14" t="s">
        <v>17</v>
      </c>
      <c r="F24" s="9"/>
      <c r="G24" s="9" t="s">
        <v>321</v>
      </c>
      <c r="H24" s="10" t="s">
        <v>42</v>
      </c>
      <c r="I24" s="9" t="s">
        <v>317</v>
      </c>
    </row>
    <row r="25" customFormat="false" ht="23.25" hidden="false" customHeight="true" outlineLevel="0" collapsed="false">
      <c r="A25" s="9" t="s">
        <v>322</v>
      </c>
      <c r="B25" s="9" t="s">
        <v>23</v>
      </c>
      <c r="C25" s="9" t="s">
        <v>251</v>
      </c>
      <c r="D25" s="9" t="s">
        <v>252</v>
      </c>
      <c r="E25" s="14" t="s">
        <v>17</v>
      </c>
      <c r="F25" s="9"/>
      <c r="G25" s="9" t="s">
        <v>323</v>
      </c>
      <c r="H25" s="10" t="s">
        <v>42</v>
      </c>
      <c r="I25" s="9" t="s">
        <v>324</v>
      </c>
    </row>
    <row r="26" customFormat="false" ht="23.25" hidden="false" customHeight="true" outlineLevel="0" collapsed="false">
      <c r="A26" s="9" t="s">
        <v>325</v>
      </c>
      <c r="B26" s="9" t="s">
        <v>23</v>
      </c>
      <c r="C26" s="9" t="s">
        <v>257</v>
      </c>
      <c r="D26" s="9" t="s">
        <v>258</v>
      </c>
      <c r="E26" s="14" t="s">
        <v>17</v>
      </c>
      <c r="F26" s="9"/>
      <c r="G26" s="9" t="s">
        <v>326</v>
      </c>
      <c r="H26" s="11" t="s">
        <v>61</v>
      </c>
      <c r="I26" s="9" t="s">
        <v>302</v>
      </c>
    </row>
    <row r="27" customFormat="false" ht="23.25" hidden="false" customHeight="true" outlineLevel="0" collapsed="false">
      <c r="A27" s="9" t="s">
        <v>327</v>
      </c>
      <c r="B27" s="9" t="s">
        <v>23</v>
      </c>
      <c r="C27" s="9" t="s">
        <v>262</v>
      </c>
      <c r="D27" s="9" t="s">
        <v>263</v>
      </c>
      <c r="E27" s="12" t="s">
        <v>235</v>
      </c>
      <c r="F27" s="9" t="s">
        <v>328</v>
      </c>
      <c r="G27" s="9" t="s">
        <v>329</v>
      </c>
      <c r="H27" s="10" t="s">
        <v>42</v>
      </c>
      <c r="I27" s="9" t="s">
        <v>330</v>
      </c>
    </row>
    <row r="28" customFormat="false" ht="23.25" hidden="false" customHeight="true" outlineLevel="0" collapsed="false">
      <c r="A28" s="9" t="s">
        <v>331</v>
      </c>
      <c r="B28" s="9" t="s">
        <v>23</v>
      </c>
      <c r="C28" s="9" t="s">
        <v>268</v>
      </c>
      <c r="D28" s="9" t="s">
        <v>269</v>
      </c>
      <c r="E28" s="14" t="s">
        <v>17</v>
      </c>
      <c r="F28" s="9"/>
      <c r="G28" s="9" t="s">
        <v>332</v>
      </c>
      <c r="H28" s="11" t="s">
        <v>61</v>
      </c>
      <c r="I28" s="9" t="s">
        <v>238</v>
      </c>
    </row>
    <row r="29" customFormat="false" ht="23.25" hidden="false" customHeight="true" outlineLevel="0" collapsed="false">
      <c r="A29" s="9" t="s">
        <v>333</v>
      </c>
      <c r="B29" s="9" t="s">
        <v>23</v>
      </c>
      <c r="C29" s="9" t="s">
        <v>273</v>
      </c>
      <c r="D29" s="9" t="s">
        <v>274</v>
      </c>
      <c r="E29" s="12" t="s">
        <v>235</v>
      </c>
      <c r="F29" s="9" t="s">
        <v>275</v>
      </c>
      <c r="G29" s="9" t="s">
        <v>276</v>
      </c>
      <c r="H29" s="11" t="s">
        <v>61</v>
      </c>
      <c r="I29" s="9" t="s">
        <v>56</v>
      </c>
    </row>
    <row r="30" customFormat="false" ht="23.25" hidden="false" customHeight="true" outlineLevel="0" collapsed="false">
      <c r="A30" s="9" t="s">
        <v>334</v>
      </c>
      <c r="B30" s="9" t="s">
        <v>23</v>
      </c>
      <c r="C30" s="9" t="s">
        <v>278</v>
      </c>
      <c r="D30" s="9" t="s">
        <v>279</v>
      </c>
      <c r="E30" s="14" t="s">
        <v>17</v>
      </c>
      <c r="F30" s="9"/>
      <c r="G30" s="9" t="s">
        <v>335</v>
      </c>
      <c r="H30" s="11" t="s">
        <v>61</v>
      </c>
      <c r="I30" s="9" t="s">
        <v>238</v>
      </c>
    </row>
    <row r="31" customFormat="false" ht="23.25" hidden="false" customHeight="true" outlineLevel="0" collapsed="false">
      <c r="A31" s="9" t="s">
        <v>336</v>
      </c>
      <c r="B31" s="9" t="s">
        <v>23</v>
      </c>
      <c r="C31" s="9" t="s">
        <v>283</v>
      </c>
      <c r="D31" s="9" t="s">
        <v>284</v>
      </c>
      <c r="E31" s="14" t="s">
        <v>17</v>
      </c>
      <c r="F31" s="9"/>
      <c r="G31" s="9" t="s">
        <v>337</v>
      </c>
      <c r="H31" s="10" t="s">
        <v>42</v>
      </c>
      <c r="I31" s="9" t="s">
        <v>330</v>
      </c>
    </row>
    <row r="32" customFormat="false" ht="23.25" hidden="false" customHeight="true" outlineLevel="0" collapsed="false">
      <c r="A32" s="9" t="s">
        <v>338</v>
      </c>
      <c r="B32" s="9" t="s">
        <v>24</v>
      </c>
      <c r="C32" s="9" t="s">
        <v>233</v>
      </c>
      <c r="D32" s="9" t="s">
        <v>234</v>
      </c>
      <c r="E32" s="12" t="s">
        <v>235</v>
      </c>
      <c r="F32" s="9" t="s">
        <v>339</v>
      </c>
      <c r="G32" s="9" t="s">
        <v>340</v>
      </c>
      <c r="H32" s="11" t="s">
        <v>61</v>
      </c>
      <c r="I32" s="9" t="s">
        <v>238</v>
      </c>
    </row>
    <row r="33" customFormat="false" ht="23.25" hidden="false" customHeight="true" outlineLevel="0" collapsed="false">
      <c r="A33" s="9" t="s">
        <v>341</v>
      </c>
      <c r="B33" s="9" t="s">
        <v>24</v>
      </c>
      <c r="C33" s="9" t="s">
        <v>240</v>
      </c>
      <c r="D33" s="9" t="s">
        <v>241</v>
      </c>
      <c r="E33" s="12" t="s">
        <v>235</v>
      </c>
      <c r="F33" s="9" t="s">
        <v>339</v>
      </c>
      <c r="G33" s="9" t="s">
        <v>340</v>
      </c>
      <c r="H33" s="11" t="s">
        <v>61</v>
      </c>
      <c r="I33" s="9" t="s">
        <v>238</v>
      </c>
    </row>
    <row r="34" customFormat="false" ht="23.25" hidden="false" customHeight="true" outlineLevel="0" collapsed="false">
      <c r="A34" s="9" t="s">
        <v>342</v>
      </c>
      <c r="B34" s="9" t="s">
        <v>24</v>
      </c>
      <c r="C34" s="9" t="s">
        <v>246</v>
      </c>
      <c r="D34" s="9" t="s">
        <v>247</v>
      </c>
      <c r="E34" s="12" t="s">
        <v>235</v>
      </c>
      <c r="F34" s="9" t="s">
        <v>339</v>
      </c>
      <c r="G34" s="9" t="s">
        <v>340</v>
      </c>
      <c r="H34" s="11" t="s">
        <v>61</v>
      </c>
      <c r="I34" s="9" t="s">
        <v>238</v>
      </c>
    </row>
    <row r="35" customFormat="false" ht="23.25" hidden="false" customHeight="true" outlineLevel="0" collapsed="false">
      <c r="A35" s="9" t="s">
        <v>343</v>
      </c>
      <c r="B35" s="9" t="s">
        <v>24</v>
      </c>
      <c r="C35" s="9" t="s">
        <v>251</v>
      </c>
      <c r="D35" s="9" t="s">
        <v>252</v>
      </c>
      <c r="E35" s="12" t="s">
        <v>235</v>
      </c>
      <c r="F35" s="9" t="s">
        <v>339</v>
      </c>
      <c r="G35" s="9" t="s">
        <v>340</v>
      </c>
      <c r="H35" s="11" t="s">
        <v>61</v>
      </c>
      <c r="I35" s="9" t="s">
        <v>238</v>
      </c>
    </row>
    <row r="36" customFormat="false" ht="23.25" hidden="false" customHeight="true" outlineLevel="0" collapsed="false">
      <c r="A36" s="9" t="s">
        <v>344</v>
      </c>
      <c r="B36" s="9" t="s">
        <v>24</v>
      </c>
      <c r="C36" s="9" t="s">
        <v>257</v>
      </c>
      <c r="D36" s="9" t="s">
        <v>258</v>
      </c>
      <c r="E36" s="14" t="s">
        <v>17</v>
      </c>
      <c r="F36" s="9"/>
      <c r="G36" s="9" t="s">
        <v>345</v>
      </c>
      <c r="H36" s="10" t="s">
        <v>42</v>
      </c>
      <c r="I36" s="9" t="s">
        <v>302</v>
      </c>
    </row>
    <row r="37" customFormat="false" ht="23.25" hidden="false" customHeight="true" outlineLevel="0" collapsed="false">
      <c r="A37" s="9" t="s">
        <v>346</v>
      </c>
      <c r="B37" s="9" t="s">
        <v>24</v>
      </c>
      <c r="C37" s="9" t="s">
        <v>262</v>
      </c>
      <c r="D37" s="9" t="s">
        <v>263</v>
      </c>
      <c r="E37" s="12" t="s">
        <v>235</v>
      </c>
      <c r="F37" s="9" t="s">
        <v>339</v>
      </c>
      <c r="G37" s="9" t="s">
        <v>340</v>
      </c>
      <c r="H37" s="11" t="s">
        <v>61</v>
      </c>
      <c r="I37" s="9" t="s">
        <v>238</v>
      </c>
    </row>
    <row r="38" customFormat="false" ht="23.25" hidden="false" customHeight="true" outlineLevel="0" collapsed="false">
      <c r="A38" s="9" t="s">
        <v>347</v>
      </c>
      <c r="B38" s="9" t="s">
        <v>24</v>
      </c>
      <c r="C38" s="9" t="s">
        <v>268</v>
      </c>
      <c r="D38" s="9" t="s">
        <v>269</v>
      </c>
      <c r="E38" s="12" t="s">
        <v>235</v>
      </c>
      <c r="F38" s="9" t="s">
        <v>339</v>
      </c>
      <c r="G38" s="9" t="s">
        <v>340</v>
      </c>
      <c r="H38" s="11" t="s">
        <v>61</v>
      </c>
      <c r="I38" s="9" t="s">
        <v>238</v>
      </c>
    </row>
    <row r="39" customFormat="false" ht="23.25" hidden="false" customHeight="true" outlineLevel="0" collapsed="false">
      <c r="A39" s="9" t="s">
        <v>348</v>
      </c>
      <c r="B39" s="9" t="s">
        <v>24</v>
      </c>
      <c r="C39" s="9" t="s">
        <v>273</v>
      </c>
      <c r="D39" s="9" t="s">
        <v>274</v>
      </c>
      <c r="E39" s="12" t="s">
        <v>235</v>
      </c>
      <c r="F39" s="9" t="s">
        <v>339</v>
      </c>
      <c r="G39" s="9" t="s">
        <v>340</v>
      </c>
      <c r="H39" s="11" t="s">
        <v>61</v>
      </c>
      <c r="I39" s="9" t="s">
        <v>238</v>
      </c>
    </row>
    <row r="40" customFormat="false" ht="23.25" hidden="false" customHeight="true" outlineLevel="0" collapsed="false">
      <c r="A40" s="9" t="s">
        <v>349</v>
      </c>
      <c r="B40" s="9" t="s">
        <v>24</v>
      </c>
      <c r="C40" s="9" t="s">
        <v>278</v>
      </c>
      <c r="D40" s="9" t="s">
        <v>279</v>
      </c>
      <c r="E40" s="14" t="s">
        <v>17</v>
      </c>
      <c r="F40" s="9"/>
      <c r="G40" s="9" t="s">
        <v>350</v>
      </c>
      <c r="H40" s="11" t="s">
        <v>61</v>
      </c>
      <c r="I40" s="9" t="s">
        <v>238</v>
      </c>
    </row>
    <row r="41" customFormat="false" ht="23.25" hidden="false" customHeight="true" outlineLevel="0" collapsed="false">
      <c r="A41" s="9" t="s">
        <v>351</v>
      </c>
      <c r="B41" s="9" t="s">
        <v>24</v>
      </c>
      <c r="C41" s="9" t="s">
        <v>283</v>
      </c>
      <c r="D41" s="9" t="s">
        <v>284</v>
      </c>
      <c r="E41" s="12" t="s">
        <v>235</v>
      </c>
      <c r="F41" s="9" t="s">
        <v>339</v>
      </c>
      <c r="G41" s="9" t="s">
        <v>340</v>
      </c>
      <c r="H41" s="11" t="s">
        <v>61</v>
      </c>
      <c r="I41" s="9" t="s">
        <v>238</v>
      </c>
    </row>
    <row r="42" customFormat="false" ht="23.25" hidden="false" customHeight="true" outlineLevel="0" collapsed="false">
      <c r="A42" s="9" t="s">
        <v>352</v>
      </c>
      <c r="B42" s="9" t="s">
        <v>25</v>
      </c>
      <c r="C42" s="9" t="s">
        <v>233</v>
      </c>
      <c r="D42" s="9" t="s">
        <v>234</v>
      </c>
      <c r="E42" s="14" t="s">
        <v>17</v>
      </c>
      <c r="F42" s="9"/>
      <c r="G42" s="9" t="s">
        <v>353</v>
      </c>
      <c r="H42" s="10" t="s">
        <v>42</v>
      </c>
      <c r="I42" s="9" t="s">
        <v>317</v>
      </c>
    </row>
    <row r="43" customFormat="false" ht="15" hidden="false" customHeight="true" outlineLevel="0" collapsed="false">
      <c r="A43" s="9" t="s">
        <v>354</v>
      </c>
      <c r="B43" s="9" t="s">
        <v>25</v>
      </c>
      <c r="C43" s="9" t="s">
        <v>240</v>
      </c>
      <c r="D43" s="9" t="s">
        <v>241</v>
      </c>
      <c r="E43" s="14" t="s">
        <v>17</v>
      </c>
      <c r="F43" s="9"/>
      <c r="G43" s="9" t="s">
        <v>355</v>
      </c>
      <c r="H43" s="10" t="s">
        <v>42</v>
      </c>
      <c r="I43" s="9" t="s">
        <v>317</v>
      </c>
    </row>
    <row r="44" customFormat="false" ht="23.25" hidden="false" customHeight="true" outlineLevel="0" collapsed="false">
      <c r="A44" s="9" t="s">
        <v>356</v>
      </c>
      <c r="B44" s="9" t="s">
        <v>25</v>
      </c>
      <c r="C44" s="9" t="s">
        <v>246</v>
      </c>
      <c r="D44" s="9" t="s">
        <v>247</v>
      </c>
      <c r="E44" s="12" t="s">
        <v>235</v>
      </c>
      <c r="F44" s="9" t="s">
        <v>248</v>
      </c>
      <c r="G44" s="9" t="s">
        <v>357</v>
      </c>
      <c r="H44" s="10" t="s">
        <v>42</v>
      </c>
      <c r="I44" s="9" t="s">
        <v>317</v>
      </c>
    </row>
    <row r="45" customFormat="false" ht="23.25" hidden="false" customHeight="true" outlineLevel="0" collapsed="false">
      <c r="A45" s="9" t="s">
        <v>358</v>
      </c>
      <c r="B45" s="9" t="s">
        <v>25</v>
      </c>
      <c r="C45" s="9" t="s">
        <v>251</v>
      </c>
      <c r="D45" s="9" t="s">
        <v>252</v>
      </c>
      <c r="E45" s="12" t="s">
        <v>235</v>
      </c>
      <c r="F45" s="9" t="s">
        <v>253</v>
      </c>
      <c r="G45" s="9" t="s">
        <v>359</v>
      </c>
      <c r="H45" s="10" t="s">
        <v>42</v>
      </c>
      <c r="I45" s="9" t="s">
        <v>299</v>
      </c>
    </row>
    <row r="46" customFormat="false" ht="23.25" hidden="false" customHeight="true" outlineLevel="0" collapsed="false">
      <c r="A46" s="9" t="s">
        <v>360</v>
      </c>
      <c r="B46" s="9" t="s">
        <v>25</v>
      </c>
      <c r="C46" s="9" t="s">
        <v>257</v>
      </c>
      <c r="D46" s="9" t="s">
        <v>258</v>
      </c>
      <c r="E46" s="14" t="s">
        <v>17</v>
      </c>
      <c r="F46" s="9"/>
      <c r="G46" s="9" t="s">
        <v>361</v>
      </c>
      <c r="H46" s="10" t="s">
        <v>42</v>
      </c>
      <c r="I46" s="9" t="s">
        <v>362</v>
      </c>
    </row>
    <row r="47" customFormat="false" ht="23.25" hidden="false" customHeight="true" outlineLevel="0" collapsed="false">
      <c r="A47" s="9" t="s">
        <v>363</v>
      </c>
      <c r="B47" s="9" t="s">
        <v>25</v>
      </c>
      <c r="C47" s="9" t="s">
        <v>262</v>
      </c>
      <c r="D47" s="9" t="s">
        <v>263</v>
      </c>
      <c r="E47" s="12" t="s">
        <v>235</v>
      </c>
      <c r="F47" s="9" t="s">
        <v>364</v>
      </c>
      <c r="G47" s="9" t="s">
        <v>365</v>
      </c>
      <c r="H47" s="11" t="s">
        <v>61</v>
      </c>
      <c r="I47" s="9" t="s">
        <v>366</v>
      </c>
    </row>
    <row r="48" customFormat="false" ht="23.25" hidden="false" customHeight="true" outlineLevel="0" collapsed="false">
      <c r="A48" s="9" t="s">
        <v>367</v>
      </c>
      <c r="B48" s="9" t="s">
        <v>25</v>
      </c>
      <c r="C48" s="9" t="s">
        <v>268</v>
      </c>
      <c r="D48" s="9" t="s">
        <v>269</v>
      </c>
      <c r="E48" s="14" t="s">
        <v>17</v>
      </c>
      <c r="F48" s="9"/>
      <c r="G48" s="9" t="s">
        <v>368</v>
      </c>
      <c r="H48" s="11" t="s">
        <v>61</v>
      </c>
      <c r="I48" s="9" t="s">
        <v>369</v>
      </c>
    </row>
    <row r="49" customFormat="false" ht="23.25" hidden="false" customHeight="true" outlineLevel="0" collapsed="false">
      <c r="A49" s="9" t="s">
        <v>370</v>
      </c>
      <c r="B49" s="9" t="s">
        <v>25</v>
      </c>
      <c r="C49" s="9" t="s">
        <v>273</v>
      </c>
      <c r="D49" s="9" t="s">
        <v>274</v>
      </c>
      <c r="E49" s="12" t="s">
        <v>235</v>
      </c>
      <c r="F49" s="9" t="s">
        <v>275</v>
      </c>
      <c r="G49" s="9" t="s">
        <v>276</v>
      </c>
      <c r="H49" s="11" t="s">
        <v>61</v>
      </c>
      <c r="I49" s="9" t="s">
        <v>56</v>
      </c>
    </row>
    <row r="50" customFormat="false" ht="15" hidden="false" customHeight="true" outlineLevel="0" collapsed="false">
      <c r="A50" s="9" t="s">
        <v>371</v>
      </c>
      <c r="B50" s="9" t="s">
        <v>25</v>
      </c>
      <c r="C50" s="9" t="s">
        <v>278</v>
      </c>
      <c r="D50" s="9" t="s">
        <v>279</v>
      </c>
      <c r="E50" s="14" t="s">
        <v>17</v>
      </c>
      <c r="F50" s="9"/>
      <c r="G50" s="9" t="s">
        <v>372</v>
      </c>
      <c r="H50" s="11" t="s">
        <v>61</v>
      </c>
      <c r="I50" s="9" t="s">
        <v>238</v>
      </c>
    </row>
    <row r="51" customFormat="false" ht="23.25" hidden="false" customHeight="true" outlineLevel="0" collapsed="false">
      <c r="A51" s="9" t="s">
        <v>373</v>
      </c>
      <c r="B51" s="9" t="s">
        <v>25</v>
      </c>
      <c r="C51" s="9" t="s">
        <v>283</v>
      </c>
      <c r="D51" s="9" t="s">
        <v>284</v>
      </c>
      <c r="E51" s="14" t="s">
        <v>17</v>
      </c>
      <c r="F51" s="9"/>
      <c r="G51" s="9" t="s">
        <v>374</v>
      </c>
      <c r="H51" s="10" t="s">
        <v>42</v>
      </c>
      <c r="I51" s="9" t="s">
        <v>375</v>
      </c>
    </row>
    <row r="52" customFormat="false" ht="15" hidden="false" customHeight="true" outlineLevel="0" collapsed="false">
      <c r="A52" s="9" t="s">
        <v>376</v>
      </c>
      <c r="B52" s="9" t="s">
        <v>26</v>
      </c>
      <c r="C52" s="9" t="s">
        <v>233</v>
      </c>
      <c r="D52" s="9" t="s">
        <v>234</v>
      </c>
      <c r="E52" s="14" t="s">
        <v>17</v>
      </c>
      <c r="F52" s="9"/>
      <c r="G52" s="9" t="s">
        <v>377</v>
      </c>
      <c r="H52" s="10" t="s">
        <v>42</v>
      </c>
      <c r="I52" s="9" t="s">
        <v>317</v>
      </c>
    </row>
    <row r="53" customFormat="false" ht="23.25" hidden="false" customHeight="true" outlineLevel="0" collapsed="false">
      <c r="A53" s="9" t="s">
        <v>378</v>
      </c>
      <c r="B53" s="9" t="s">
        <v>26</v>
      </c>
      <c r="C53" s="9" t="s">
        <v>240</v>
      </c>
      <c r="D53" s="9" t="s">
        <v>241</v>
      </c>
      <c r="E53" s="14" t="s">
        <v>17</v>
      </c>
      <c r="F53" s="9"/>
      <c r="G53" s="9" t="s">
        <v>379</v>
      </c>
      <c r="H53" s="10" t="s">
        <v>42</v>
      </c>
      <c r="I53" s="9" t="s">
        <v>317</v>
      </c>
    </row>
    <row r="54" customFormat="false" ht="23.25" hidden="false" customHeight="true" outlineLevel="0" collapsed="false">
      <c r="A54" s="9" t="s">
        <v>380</v>
      </c>
      <c r="B54" s="9" t="s">
        <v>26</v>
      </c>
      <c r="C54" s="9" t="s">
        <v>246</v>
      </c>
      <c r="D54" s="9" t="s">
        <v>247</v>
      </c>
      <c r="E54" s="14" t="s">
        <v>17</v>
      </c>
      <c r="F54" s="9"/>
      <c r="G54" s="9" t="s">
        <v>381</v>
      </c>
      <c r="H54" s="10" t="s">
        <v>42</v>
      </c>
      <c r="I54" s="9" t="s">
        <v>317</v>
      </c>
    </row>
    <row r="55" customFormat="false" ht="34.5" hidden="false" customHeight="true" outlineLevel="0" collapsed="false">
      <c r="A55" s="9" t="s">
        <v>382</v>
      </c>
      <c r="B55" s="9" t="s">
        <v>26</v>
      </c>
      <c r="C55" s="9" t="s">
        <v>251</v>
      </c>
      <c r="D55" s="9" t="s">
        <v>252</v>
      </c>
      <c r="E55" s="14" t="s">
        <v>17</v>
      </c>
      <c r="F55" s="9"/>
      <c r="G55" s="9" t="s">
        <v>383</v>
      </c>
      <c r="H55" s="10" t="s">
        <v>42</v>
      </c>
      <c r="I55" s="9" t="s">
        <v>299</v>
      </c>
    </row>
    <row r="56" customFormat="false" ht="15" hidden="false" customHeight="true" outlineLevel="0" collapsed="false">
      <c r="A56" s="9" t="s">
        <v>384</v>
      </c>
      <c r="B56" s="9" t="s">
        <v>26</v>
      </c>
      <c r="C56" s="9" t="s">
        <v>257</v>
      </c>
      <c r="D56" s="9" t="s">
        <v>258</v>
      </c>
      <c r="E56" s="14" t="s">
        <v>17</v>
      </c>
      <c r="F56" s="9"/>
      <c r="G56" s="9" t="s">
        <v>385</v>
      </c>
      <c r="H56" s="10" t="s">
        <v>42</v>
      </c>
      <c r="I56" s="9" t="s">
        <v>386</v>
      </c>
    </row>
    <row r="57" customFormat="false" ht="23.25" hidden="false" customHeight="true" outlineLevel="0" collapsed="false">
      <c r="A57" s="9" t="s">
        <v>387</v>
      </c>
      <c r="B57" s="9" t="s">
        <v>26</v>
      </c>
      <c r="C57" s="9" t="s">
        <v>262</v>
      </c>
      <c r="D57" s="9" t="s">
        <v>263</v>
      </c>
      <c r="E57" s="12" t="s">
        <v>235</v>
      </c>
      <c r="F57" s="9" t="s">
        <v>328</v>
      </c>
      <c r="G57" s="9" t="s">
        <v>388</v>
      </c>
      <c r="H57" s="10" t="s">
        <v>42</v>
      </c>
      <c r="I57" s="9" t="s">
        <v>389</v>
      </c>
    </row>
    <row r="58" customFormat="false" ht="23.25" hidden="false" customHeight="true" outlineLevel="0" collapsed="false">
      <c r="A58" s="9" t="s">
        <v>390</v>
      </c>
      <c r="B58" s="9" t="s">
        <v>26</v>
      </c>
      <c r="C58" s="9" t="s">
        <v>268</v>
      </c>
      <c r="D58" s="9" t="s">
        <v>269</v>
      </c>
      <c r="E58" s="14" t="s">
        <v>17</v>
      </c>
      <c r="F58" s="9"/>
      <c r="G58" s="9" t="s">
        <v>391</v>
      </c>
      <c r="H58" s="11" t="s">
        <v>61</v>
      </c>
      <c r="I58" s="9" t="s">
        <v>238</v>
      </c>
    </row>
    <row r="59" customFormat="false" ht="23.25" hidden="false" customHeight="true" outlineLevel="0" collapsed="false">
      <c r="A59" s="9" t="s">
        <v>392</v>
      </c>
      <c r="B59" s="9" t="s">
        <v>26</v>
      </c>
      <c r="C59" s="9" t="s">
        <v>273</v>
      </c>
      <c r="D59" s="9" t="s">
        <v>274</v>
      </c>
      <c r="E59" s="12" t="s">
        <v>235</v>
      </c>
      <c r="F59" s="9" t="s">
        <v>275</v>
      </c>
      <c r="G59" s="9" t="s">
        <v>276</v>
      </c>
      <c r="H59" s="11" t="s">
        <v>61</v>
      </c>
      <c r="I59" s="9" t="s">
        <v>56</v>
      </c>
    </row>
    <row r="60" customFormat="false" ht="23.25" hidden="false" customHeight="true" outlineLevel="0" collapsed="false">
      <c r="A60" s="9" t="s">
        <v>393</v>
      </c>
      <c r="B60" s="9" t="s">
        <v>26</v>
      </c>
      <c r="C60" s="9" t="s">
        <v>278</v>
      </c>
      <c r="D60" s="9" t="s">
        <v>279</v>
      </c>
      <c r="E60" s="14" t="s">
        <v>17</v>
      </c>
      <c r="F60" s="9"/>
      <c r="G60" s="9" t="s">
        <v>394</v>
      </c>
      <c r="H60" s="11" t="s">
        <v>61</v>
      </c>
      <c r="I60" s="9" t="s">
        <v>395</v>
      </c>
    </row>
    <row r="61" customFormat="false" ht="23.25" hidden="false" customHeight="true" outlineLevel="0" collapsed="false">
      <c r="A61" s="9" t="s">
        <v>396</v>
      </c>
      <c r="B61" s="9" t="s">
        <v>26</v>
      </c>
      <c r="C61" s="9" t="s">
        <v>283</v>
      </c>
      <c r="D61" s="9" t="s">
        <v>284</v>
      </c>
      <c r="E61" s="14" t="s">
        <v>17</v>
      </c>
      <c r="F61" s="9"/>
      <c r="G61" s="9" t="s">
        <v>397</v>
      </c>
      <c r="H61" s="10" t="s">
        <v>42</v>
      </c>
      <c r="I61" s="9" t="s">
        <v>398</v>
      </c>
    </row>
    <row r="62" customFormat="false" ht="15" hidden="false" customHeight="true" outlineLevel="0" collapsed="false">
      <c r="A62" s="9" t="s">
        <v>399</v>
      </c>
      <c r="B62" s="9" t="s">
        <v>27</v>
      </c>
      <c r="C62" s="9" t="s">
        <v>233</v>
      </c>
      <c r="D62" s="9" t="s">
        <v>234</v>
      </c>
      <c r="E62" s="12" t="s">
        <v>235</v>
      </c>
      <c r="F62" s="9" t="s">
        <v>400</v>
      </c>
      <c r="G62" s="9" t="s">
        <v>401</v>
      </c>
      <c r="H62" s="11" t="s">
        <v>61</v>
      </c>
      <c r="I62" s="9" t="s">
        <v>238</v>
      </c>
    </row>
    <row r="63" customFormat="false" ht="15" hidden="false" customHeight="true" outlineLevel="0" collapsed="false">
      <c r="A63" s="9" t="s">
        <v>402</v>
      </c>
      <c r="B63" s="9" t="s">
        <v>27</v>
      </c>
      <c r="C63" s="9" t="s">
        <v>240</v>
      </c>
      <c r="D63" s="9" t="s">
        <v>241</v>
      </c>
      <c r="E63" s="12" t="s">
        <v>235</v>
      </c>
      <c r="F63" s="9" t="s">
        <v>403</v>
      </c>
      <c r="G63" s="9" t="s">
        <v>404</v>
      </c>
      <c r="H63" s="10" t="s">
        <v>42</v>
      </c>
      <c r="I63" s="9" t="s">
        <v>56</v>
      </c>
    </row>
    <row r="64" customFormat="false" ht="23.25" hidden="false" customHeight="true" outlineLevel="0" collapsed="false">
      <c r="A64" s="9" t="s">
        <v>405</v>
      </c>
      <c r="B64" s="9" t="s">
        <v>27</v>
      </c>
      <c r="C64" s="9" t="s">
        <v>246</v>
      </c>
      <c r="D64" s="9" t="s">
        <v>247</v>
      </c>
      <c r="E64" s="14" t="s">
        <v>17</v>
      </c>
      <c r="F64" s="9"/>
      <c r="G64" s="9" t="s">
        <v>406</v>
      </c>
      <c r="H64" s="11" t="s">
        <v>61</v>
      </c>
      <c r="I64" s="9" t="s">
        <v>238</v>
      </c>
    </row>
    <row r="65" customFormat="false" ht="23.25" hidden="false" customHeight="true" outlineLevel="0" collapsed="false">
      <c r="A65" s="9" t="s">
        <v>407</v>
      </c>
      <c r="B65" s="9" t="s">
        <v>27</v>
      </c>
      <c r="C65" s="9" t="s">
        <v>251</v>
      </c>
      <c r="D65" s="9" t="s">
        <v>252</v>
      </c>
      <c r="E65" s="12" t="s">
        <v>235</v>
      </c>
      <c r="F65" s="9" t="s">
        <v>253</v>
      </c>
      <c r="G65" s="9" t="s">
        <v>408</v>
      </c>
      <c r="H65" s="10" t="s">
        <v>42</v>
      </c>
      <c r="I65" s="9" t="s">
        <v>299</v>
      </c>
    </row>
    <row r="66" customFormat="false" ht="23.25" hidden="false" customHeight="true" outlineLevel="0" collapsed="false">
      <c r="A66" s="9" t="s">
        <v>409</v>
      </c>
      <c r="B66" s="9" t="s">
        <v>27</v>
      </c>
      <c r="C66" s="9" t="s">
        <v>257</v>
      </c>
      <c r="D66" s="9" t="s">
        <v>258</v>
      </c>
      <c r="E66" s="14" t="s">
        <v>17</v>
      </c>
      <c r="F66" s="9"/>
      <c r="G66" s="9" t="s">
        <v>410</v>
      </c>
      <c r="H66" s="10" t="s">
        <v>42</v>
      </c>
      <c r="I66" s="9" t="s">
        <v>411</v>
      </c>
    </row>
    <row r="67" customFormat="false" ht="23.25" hidden="false" customHeight="true" outlineLevel="0" collapsed="false">
      <c r="A67" s="9" t="s">
        <v>412</v>
      </c>
      <c r="B67" s="9" t="s">
        <v>27</v>
      </c>
      <c r="C67" s="9" t="s">
        <v>262</v>
      </c>
      <c r="D67" s="9" t="s">
        <v>263</v>
      </c>
      <c r="E67" s="14" t="s">
        <v>17</v>
      </c>
      <c r="F67" s="9"/>
      <c r="G67" s="9" t="s">
        <v>413</v>
      </c>
      <c r="H67" s="10" t="s">
        <v>42</v>
      </c>
      <c r="I67" s="9" t="s">
        <v>414</v>
      </c>
    </row>
    <row r="68" customFormat="false" ht="23.25" hidden="false" customHeight="true" outlineLevel="0" collapsed="false">
      <c r="A68" s="9" t="s">
        <v>415</v>
      </c>
      <c r="B68" s="9" t="s">
        <v>27</v>
      </c>
      <c r="C68" s="9" t="s">
        <v>268</v>
      </c>
      <c r="D68" s="9" t="s">
        <v>269</v>
      </c>
      <c r="E68" s="12" t="s">
        <v>235</v>
      </c>
      <c r="F68" s="9" t="s">
        <v>416</v>
      </c>
      <c r="G68" s="9" t="s">
        <v>417</v>
      </c>
      <c r="H68" s="10" t="s">
        <v>42</v>
      </c>
      <c r="I68" s="9" t="s">
        <v>418</v>
      </c>
    </row>
    <row r="69" customFormat="false" ht="23.25" hidden="false" customHeight="true" outlineLevel="0" collapsed="false">
      <c r="A69" s="9" t="s">
        <v>419</v>
      </c>
      <c r="B69" s="9" t="s">
        <v>27</v>
      </c>
      <c r="C69" s="9" t="s">
        <v>273</v>
      </c>
      <c r="D69" s="9" t="s">
        <v>274</v>
      </c>
      <c r="E69" s="12" t="s">
        <v>235</v>
      </c>
      <c r="F69" s="9" t="s">
        <v>275</v>
      </c>
      <c r="G69" s="9" t="s">
        <v>276</v>
      </c>
      <c r="H69" s="11" t="s">
        <v>61</v>
      </c>
      <c r="I69" s="9" t="s">
        <v>56</v>
      </c>
    </row>
    <row r="70" customFormat="false" ht="15" hidden="false" customHeight="true" outlineLevel="0" collapsed="false">
      <c r="A70" s="9" t="s">
        <v>420</v>
      </c>
      <c r="B70" s="9" t="s">
        <v>27</v>
      </c>
      <c r="C70" s="9" t="s">
        <v>278</v>
      </c>
      <c r="D70" s="9" t="s">
        <v>279</v>
      </c>
      <c r="E70" s="14" t="s">
        <v>17</v>
      </c>
      <c r="F70" s="9"/>
      <c r="G70" s="9" t="s">
        <v>421</v>
      </c>
      <c r="H70" s="11" t="s">
        <v>61</v>
      </c>
      <c r="I70" s="9" t="s">
        <v>422</v>
      </c>
    </row>
    <row r="71" customFormat="false" ht="23.25" hidden="false" customHeight="true" outlineLevel="0" collapsed="false">
      <c r="A71" s="9" t="s">
        <v>423</v>
      </c>
      <c r="B71" s="9" t="s">
        <v>27</v>
      </c>
      <c r="C71" s="9" t="s">
        <v>283</v>
      </c>
      <c r="D71" s="9" t="s">
        <v>284</v>
      </c>
      <c r="E71" s="14" t="s">
        <v>17</v>
      </c>
      <c r="F71" s="9"/>
      <c r="G71" s="9" t="s">
        <v>424</v>
      </c>
      <c r="H71" s="11" t="s">
        <v>61</v>
      </c>
      <c r="I71" s="9" t="s">
        <v>425</v>
      </c>
    </row>
  </sheetData>
  <autoFilter ref="A1:I7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6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3"/>
    <col collapsed="false" customWidth="true" hidden="false" outlineLevel="0" max="6" min="6" style="1" width="45"/>
  </cols>
  <sheetData>
    <row r="1" customFormat="false" ht="30" hidden="false" customHeight="true" outlineLevel="0" collapsed="false">
      <c r="A1" s="8" t="s">
        <v>31</v>
      </c>
      <c r="B1" s="8" t="s">
        <v>16</v>
      </c>
      <c r="C1" s="8" t="s">
        <v>32</v>
      </c>
      <c r="D1" s="8" t="s">
        <v>426</v>
      </c>
      <c r="E1" s="8" t="s">
        <v>8</v>
      </c>
      <c r="F1" s="8" t="s">
        <v>36</v>
      </c>
    </row>
    <row r="2" customFormat="false" ht="23.25" hidden="false" customHeight="true" outlineLevel="0" collapsed="false">
      <c r="A2" s="9" t="s">
        <v>427</v>
      </c>
      <c r="B2" s="9" t="s">
        <v>21</v>
      </c>
      <c r="C2" s="9" t="s">
        <v>428</v>
      </c>
      <c r="D2" s="9" t="s">
        <v>223</v>
      </c>
      <c r="E2" s="10" t="s">
        <v>42</v>
      </c>
      <c r="F2" s="9" t="s">
        <v>429</v>
      </c>
    </row>
    <row r="3" customFormat="false" ht="15" hidden="false" customHeight="true" outlineLevel="0" collapsed="false">
      <c r="A3" s="9" t="s">
        <v>430</v>
      </c>
      <c r="B3" s="9" t="s">
        <v>21</v>
      </c>
      <c r="C3" s="9" t="s">
        <v>431</v>
      </c>
      <c r="D3" s="9" t="s">
        <v>432</v>
      </c>
      <c r="E3" s="11" t="s">
        <v>61</v>
      </c>
      <c r="F3" s="9" t="s">
        <v>433</v>
      </c>
    </row>
    <row r="4" customFormat="false" ht="15" hidden="false" customHeight="true" outlineLevel="0" collapsed="false">
      <c r="A4" s="9" t="s">
        <v>434</v>
      </c>
      <c r="B4" s="9" t="s">
        <v>21</v>
      </c>
      <c r="C4" s="9" t="s">
        <v>435</v>
      </c>
      <c r="D4" s="9" t="s">
        <v>436</v>
      </c>
      <c r="E4" s="10" t="s">
        <v>42</v>
      </c>
      <c r="F4" s="9" t="s">
        <v>437</v>
      </c>
    </row>
    <row r="5" customFormat="false" ht="23.25" hidden="false" customHeight="true" outlineLevel="0" collapsed="false">
      <c r="A5" s="9" t="s">
        <v>438</v>
      </c>
      <c r="B5" s="9" t="s">
        <v>21</v>
      </c>
      <c r="C5" s="9" t="s">
        <v>439</v>
      </c>
      <c r="D5" s="9" t="s">
        <v>223</v>
      </c>
      <c r="E5" s="10" t="s">
        <v>42</v>
      </c>
      <c r="F5" s="9" t="s">
        <v>299</v>
      </c>
    </row>
    <row r="6" customFormat="false" ht="23.25" hidden="false" customHeight="true" outlineLevel="0" collapsed="false">
      <c r="A6" s="9" t="s">
        <v>440</v>
      </c>
      <c r="B6" s="9" t="s">
        <v>21</v>
      </c>
      <c r="C6" s="9" t="s">
        <v>441</v>
      </c>
      <c r="D6" s="9" t="s">
        <v>442</v>
      </c>
      <c r="E6" s="10" t="s">
        <v>42</v>
      </c>
      <c r="F6" s="9" t="s">
        <v>443</v>
      </c>
    </row>
    <row r="7" customFormat="false" ht="23.25" hidden="false" customHeight="true" outlineLevel="0" collapsed="false">
      <c r="A7" s="9" t="s">
        <v>444</v>
      </c>
      <c r="B7" s="9" t="s">
        <v>21</v>
      </c>
      <c r="C7" s="9" t="s">
        <v>445</v>
      </c>
      <c r="D7" s="9" t="s">
        <v>446</v>
      </c>
      <c r="E7" s="10" t="s">
        <v>42</v>
      </c>
      <c r="F7" s="9" t="s">
        <v>447</v>
      </c>
    </row>
    <row r="8" customFormat="false" ht="23.25" hidden="false" customHeight="true" outlineLevel="0" collapsed="false">
      <c r="A8" s="9" t="s">
        <v>448</v>
      </c>
      <c r="B8" s="9" t="s">
        <v>21</v>
      </c>
      <c r="C8" s="9" t="s">
        <v>449</v>
      </c>
      <c r="D8" s="9" t="s">
        <v>223</v>
      </c>
      <c r="E8" s="11" t="s">
        <v>61</v>
      </c>
      <c r="F8" s="9" t="s">
        <v>450</v>
      </c>
    </row>
    <row r="9" customFormat="false" ht="15" hidden="false" customHeight="true" outlineLevel="0" collapsed="false">
      <c r="A9" s="9" t="s">
        <v>451</v>
      </c>
      <c r="B9" s="9" t="s">
        <v>22</v>
      </c>
      <c r="C9" s="9" t="s">
        <v>452</v>
      </c>
      <c r="D9" s="9" t="s">
        <v>223</v>
      </c>
      <c r="E9" s="10" t="s">
        <v>42</v>
      </c>
      <c r="F9" s="9" t="s">
        <v>453</v>
      </c>
    </row>
    <row r="10" customFormat="false" ht="15" hidden="false" customHeight="true" outlineLevel="0" collapsed="false">
      <c r="A10" s="9" t="s">
        <v>454</v>
      </c>
      <c r="B10" s="9" t="s">
        <v>22</v>
      </c>
      <c r="C10" s="9" t="s">
        <v>455</v>
      </c>
      <c r="D10" s="9" t="s">
        <v>436</v>
      </c>
      <c r="E10" s="10" t="s">
        <v>42</v>
      </c>
      <c r="F10" s="9" t="s">
        <v>238</v>
      </c>
    </row>
    <row r="11" customFormat="false" ht="15" hidden="false" customHeight="true" outlineLevel="0" collapsed="false">
      <c r="A11" s="9" t="s">
        <v>456</v>
      </c>
      <c r="B11" s="9" t="s">
        <v>22</v>
      </c>
      <c r="C11" s="9" t="s">
        <v>457</v>
      </c>
      <c r="D11" s="9" t="s">
        <v>223</v>
      </c>
      <c r="E11" s="10" t="s">
        <v>42</v>
      </c>
      <c r="F11" s="9" t="s">
        <v>418</v>
      </c>
    </row>
    <row r="12" customFormat="false" ht="15" hidden="false" customHeight="true" outlineLevel="0" collapsed="false">
      <c r="A12" s="9" t="s">
        <v>458</v>
      </c>
      <c r="B12" s="9" t="s">
        <v>22</v>
      </c>
      <c r="C12" s="9" t="s">
        <v>459</v>
      </c>
      <c r="D12" s="9" t="s">
        <v>436</v>
      </c>
      <c r="E12" s="11" t="s">
        <v>61</v>
      </c>
      <c r="F12" s="9" t="s">
        <v>460</v>
      </c>
    </row>
    <row r="13" customFormat="false" ht="15" hidden="false" customHeight="true" outlineLevel="0" collapsed="false">
      <c r="A13" s="9" t="s">
        <v>461</v>
      </c>
      <c r="B13" s="9" t="s">
        <v>22</v>
      </c>
      <c r="C13" s="9" t="s">
        <v>462</v>
      </c>
      <c r="D13" s="9" t="s">
        <v>463</v>
      </c>
      <c r="E13" s="11" t="s">
        <v>61</v>
      </c>
      <c r="F13" s="9" t="s">
        <v>82</v>
      </c>
    </row>
    <row r="14" customFormat="false" ht="23.25" hidden="false" customHeight="true" outlineLevel="0" collapsed="false">
      <c r="A14" s="9" t="s">
        <v>464</v>
      </c>
      <c r="B14" s="9" t="s">
        <v>23</v>
      </c>
      <c r="C14" s="9" t="s">
        <v>465</v>
      </c>
      <c r="D14" s="9" t="s">
        <v>223</v>
      </c>
      <c r="E14" s="10" t="s">
        <v>42</v>
      </c>
      <c r="F14" s="9" t="s">
        <v>299</v>
      </c>
    </row>
    <row r="15" customFormat="false" ht="23.25" hidden="false" customHeight="true" outlineLevel="0" collapsed="false">
      <c r="A15" s="9" t="s">
        <v>466</v>
      </c>
      <c r="B15" s="9" t="s">
        <v>23</v>
      </c>
      <c r="C15" s="9" t="s">
        <v>467</v>
      </c>
      <c r="D15" s="9" t="s">
        <v>446</v>
      </c>
      <c r="E15" s="10" t="s">
        <v>42</v>
      </c>
      <c r="F15" s="9" t="s">
        <v>468</v>
      </c>
    </row>
    <row r="16" customFormat="false" ht="23.25" hidden="false" customHeight="true" outlineLevel="0" collapsed="false">
      <c r="A16" s="9" t="s">
        <v>469</v>
      </c>
      <c r="B16" s="9" t="s">
        <v>23</v>
      </c>
      <c r="C16" s="9" t="s">
        <v>470</v>
      </c>
      <c r="D16" s="9" t="s">
        <v>446</v>
      </c>
      <c r="E16" s="10" t="s">
        <v>42</v>
      </c>
      <c r="F16" s="9" t="s">
        <v>468</v>
      </c>
    </row>
    <row r="17" customFormat="false" ht="23.25" hidden="false" customHeight="true" outlineLevel="0" collapsed="false">
      <c r="A17" s="9" t="s">
        <v>471</v>
      </c>
      <c r="B17" s="9" t="s">
        <v>23</v>
      </c>
      <c r="C17" s="9" t="s">
        <v>472</v>
      </c>
      <c r="D17" s="9" t="s">
        <v>223</v>
      </c>
      <c r="E17" s="10" t="s">
        <v>42</v>
      </c>
      <c r="F17" s="9" t="s">
        <v>473</v>
      </c>
    </row>
    <row r="18" customFormat="false" ht="23.25" hidden="false" customHeight="true" outlineLevel="0" collapsed="false">
      <c r="A18" s="9" t="s">
        <v>474</v>
      </c>
      <c r="B18" s="9" t="s">
        <v>23</v>
      </c>
      <c r="C18" s="9" t="s">
        <v>475</v>
      </c>
      <c r="D18" s="9" t="s">
        <v>446</v>
      </c>
      <c r="E18" s="10" t="s">
        <v>42</v>
      </c>
      <c r="F18" s="9" t="s">
        <v>476</v>
      </c>
    </row>
    <row r="19" customFormat="false" ht="23.25" hidden="false" customHeight="true" outlineLevel="0" collapsed="false">
      <c r="A19" s="9" t="s">
        <v>477</v>
      </c>
      <c r="B19" s="9" t="s">
        <v>23</v>
      </c>
      <c r="C19" s="9" t="s">
        <v>478</v>
      </c>
      <c r="D19" s="9" t="s">
        <v>223</v>
      </c>
      <c r="E19" s="11" t="s">
        <v>61</v>
      </c>
      <c r="F19" s="9" t="s">
        <v>450</v>
      </c>
    </row>
    <row r="20" customFormat="false" ht="23.25" hidden="false" customHeight="true" outlineLevel="0" collapsed="false">
      <c r="A20" s="9" t="s">
        <v>479</v>
      </c>
      <c r="B20" s="9" t="s">
        <v>24</v>
      </c>
      <c r="C20" s="9" t="s">
        <v>480</v>
      </c>
      <c r="D20" s="9" t="s">
        <v>446</v>
      </c>
      <c r="E20" s="13" t="s">
        <v>188</v>
      </c>
      <c r="F20" s="9" t="s">
        <v>82</v>
      </c>
    </row>
    <row r="21" customFormat="false" ht="23.25" hidden="false" customHeight="true" outlineLevel="0" collapsed="false">
      <c r="A21" s="9" t="s">
        <v>481</v>
      </c>
      <c r="B21" s="9" t="s">
        <v>24</v>
      </c>
      <c r="C21" s="9" t="s">
        <v>482</v>
      </c>
      <c r="D21" s="9" t="s">
        <v>446</v>
      </c>
      <c r="E21" s="11" t="s">
        <v>61</v>
      </c>
      <c r="F21" s="9" t="s">
        <v>82</v>
      </c>
    </row>
    <row r="22" customFormat="false" ht="23.25" hidden="false" customHeight="true" outlineLevel="0" collapsed="false">
      <c r="A22" s="9" t="s">
        <v>483</v>
      </c>
      <c r="B22" s="9" t="s">
        <v>24</v>
      </c>
      <c r="C22" s="9" t="s">
        <v>484</v>
      </c>
      <c r="D22" s="9" t="s">
        <v>485</v>
      </c>
      <c r="E22" s="10" t="s">
        <v>42</v>
      </c>
      <c r="F22" s="9" t="s">
        <v>82</v>
      </c>
    </row>
    <row r="23" customFormat="false" ht="23.25" hidden="false" customHeight="true" outlineLevel="0" collapsed="false">
      <c r="A23" s="9" t="s">
        <v>486</v>
      </c>
      <c r="B23" s="9" t="s">
        <v>24</v>
      </c>
      <c r="C23" s="9" t="s">
        <v>487</v>
      </c>
      <c r="D23" s="9" t="s">
        <v>446</v>
      </c>
      <c r="E23" s="13" t="s">
        <v>188</v>
      </c>
      <c r="F23" s="9" t="s">
        <v>82</v>
      </c>
    </row>
    <row r="24" customFormat="false" ht="23.25" hidden="false" customHeight="true" outlineLevel="0" collapsed="false">
      <c r="A24" s="9" t="s">
        <v>488</v>
      </c>
      <c r="B24" s="9" t="s">
        <v>25</v>
      </c>
      <c r="C24" s="9" t="s">
        <v>489</v>
      </c>
      <c r="D24" s="9" t="s">
        <v>436</v>
      </c>
      <c r="E24" s="10" t="s">
        <v>42</v>
      </c>
      <c r="F24" s="9" t="s">
        <v>362</v>
      </c>
    </row>
    <row r="25" customFormat="false" ht="15" hidden="false" customHeight="true" outlineLevel="0" collapsed="false">
      <c r="A25" s="9" t="s">
        <v>490</v>
      </c>
      <c r="B25" s="9" t="s">
        <v>25</v>
      </c>
      <c r="C25" s="9" t="s">
        <v>491</v>
      </c>
      <c r="D25" s="9" t="s">
        <v>436</v>
      </c>
      <c r="E25" s="10" t="s">
        <v>42</v>
      </c>
      <c r="F25" s="9" t="s">
        <v>362</v>
      </c>
    </row>
    <row r="26" customFormat="false" ht="15" hidden="false" customHeight="true" outlineLevel="0" collapsed="false">
      <c r="A26" s="9" t="s">
        <v>492</v>
      </c>
      <c r="B26" s="9" t="s">
        <v>25</v>
      </c>
      <c r="C26" s="9" t="s">
        <v>493</v>
      </c>
      <c r="D26" s="9" t="s">
        <v>223</v>
      </c>
      <c r="E26" s="10" t="s">
        <v>42</v>
      </c>
      <c r="F26" s="9" t="s">
        <v>299</v>
      </c>
    </row>
    <row r="27" customFormat="false" ht="23.25" hidden="false" customHeight="true" outlineLevel="0" collapsed="false">
      <c r="A27" s="9" t="s">
        <v>494</v>
      </c>
      <c r="B27" s="9" t="s">
        <v>25</v>
      </c>
      <c r="C27" s="9" t="s">
        <v>495</v>
      </c>
      <c r="D27" s="9" t="s">
        <v>223</v>
      </c>
      <c r="E27" s="10" t="s">
        <v>42</v>
      </c>
      <c r="F27" s="9" t="s">
        <v>496</v>
      </c>
    </row>
    <row r="28" customFormat="false" ht="23.25" hidden="false" customHeight="true" outlineLevel="0" collapsed="false">
      <c r="A28" s="9" t="s">
        <v>497</v>
      </c>
      <c r="B28" s="9" t="s">
        <v>25</v>
      </c>
      <c r="C28" s="9" t="s">
        <v>498</v>
      </c>
      <c r="D28" s="9" t="s">
        <v>223</v>
      </c>
      <c r="E28" s="11" t="s">
        <v>61</v>
      </c>
      <c r="F28" s="9" t="s">
        <v>369</v>
      </c>
    </row>
    <row r="29" customFormat="false" ht="15" hidden="false" customHeight="true" outlineLevel="0" collapsed="false">
      <c r="A29" s="9" t="s">
        <v>499</v>
      </c>
      <c r="B29" s="9" t="s">
        <v>25</v>
      </c>
      <c r="C29" s="9" t="s">
        <v>500</v>
      </c>
      <c r="D29" s="9" t="s">
        <v>82</v>
      </c>
      <c r="E29" s="15" t="s">
        <v>501</v>
      </c>
      <c r="F29" s="9" t="s">
        <v>502</v>
      </c>
    </row>
    <row r="30" customFormat="false" ht="15" hidden="false" customHeight="true" outlineLevel="0" collapsed="false">
      <c r="A30" s="9" t="s">
        <v>503</v>
      </c>
      <c r="B30" s="9" t="s">
        <v>26</v>
      </c>
      <c r="C30" s="9" t="s">
        <v>465</v>
      </c>
      <c r="D30" s="9" t="s">
        <v>223</v>
      </c>
      <c r="E30" s="10" t="s">
        <v>42</v>
      </c>
      <c r="F30" s="9" t="s">
        <v>299</v>
      </c>
    </row>
    <row r="31" customFormat="false" ht="15" hidden="false" customHeight="true" outlineLevel="0" collapsed="false">
      <c r="A31" s="9" t="s">
        <v>504</v>
      </c>
      <c r="B31" s="9" t="s">
        <v>26</v>
      </c>
      <c r="C31" s="9" t="s">
        <v>505</v>
      </c>
      <c r="D31" s="9" t="s">
        <v>506</v>
      </c>
      <c r="E31" s="11" t="s">
        <v>61</v>
      </c>
      <c r="F31" s="9" t="s">
        <v>507</v>
      </c>
    </row>
    <row r="32" customFormat="false" ht="15" hidden="false" customHeight="true" outlineLevel="0" collapsed="false">
      <c r="A32" s="9" t="s">
        <v>508</v>
      </c>
      <c r="B32" s="9" t="s">
        <v>26</v>
      </c>
      <c r="C32" s="9" t="s">
        <v>509</v>
      </c>
      <c r="D32" s="9" t="s">
        <v>446</v>
      </c>
      <c r="E32" s="11" t="s">
        <v>61</v>
      </c>
      <c r="F32" s="9" t="s">
        <v>299</v>
      </c>
    </row>
    <row r="33" customFormat="false" ht="15" hidden="false" customHeight="true" outlineLevel="0" collapsed="false">
      <c r="A33" s="9" t="s">
        <v>510</v>
      </c>
      <c r="B33" s="9" t="s">
        <v>26</v>
      </c>
      <c r="C33" s="9" t="s">
        <v>511</v>
      </c>
      <c r="D33" s="9" t="s">
        <v>436</v>
      </c>
      <c r="E33" s="11" t="s">
        <v>61</v>
      </c>
      <c r="F33" s="9" t="s">
        <v>460</v>
      </c>
    </row>
    <row r="34" customFormat="false" ht="15" hidden="false" customHeight="true" outlineLevel="0" collapsed="false">
      <c r="A34" s="9" t="s">
        <v>512</v>
      </c>
      <c r="B34" s="9" t="s">
        <v>26</v>
      </c>
      <c r="C34" s="9" t="s">
        <v>513</v>
      </c>
      <c r="D34" s="9" t="s">
        <v>223</v>
      </c>
      <c r="E34" s="11" t="s">
        <v>61</v>
      </c>
      <c r="F34" s="9" t="s">
        <v>450</v>
      </c>
    </row>
    <row r="35" customFormat="false" ht="15" hidden="false" customHeight="true" outlineLevel="0" collapsed="false">
      <c r="A35" s="9" t="s">
        <v>514</v>
      </c>
      <c r="B35" s="9" t="s">
        <v>27</v>
      </c>
      <c r="C35" s="9" t="s">
        <v>515</v>
      </c>
      <c r="D35" s="9" t="s">
        <v>446</v>
      </c>
      <c r="E35" s="10" t="s">
        <v>42</v>
      </c>
      <c r="F35" s="9" t="s">
        <v>516</v>
      </c>
    </row>
    <row r="36" customFormat="false" ht="15" hidden="false" customHeight="true" outlineLevel="0" collapsed="false">
      <c r="A36" s="9" t="s">
        <v>517</v>
      </c>
      <c r="B36" s="9" t="s">
        <v>27</v>
      </c>
      <c r="C36" s="9" t="s">
        <v>518</v>
      </c>
      <c r="D36" s="9" t="s">
        <v>436</v>
      </c>
      <c r="E36" s="11" t="s">
        <v>61</v>
      </c>
      <c r="F36" s="9" t="s">
        <v>519</v>
      </c>
    </row>
    <row r="37" customFormat="false" ht="23.25" hidden="false" customHeight="true" outlineLevel="0" collapsed="false">
      <c r="A37" s="9" t="s">
        <v>520</v>
      </c>
      <c r="B37" s="9" t="s">
        <v>27</v>
      </c>
      <c r="C37" s="9" t="s">
        <v>521</v>
      </c>
      <c r="D37" s="9" t="s">
        <v>522</v>
      </c>
      <c r="E37" s="12" t="s">
        <v>80</v>
      </c>
      <c r="F37" s="9" t="s">
        <v>523</v>
      </c>
    </row>
    <row r="38" customFormat="false" ht="15" hidden="false" customHeight="true" outlineLevel="0" collapsed="false">
      <c r="A38" s="9" t="s">
        <v>524</v>
      </c>
      <c r="B38" s="9" t="s">
        <v>27</v>
      </c>
      <c r="C38" s="9" t="s">
        <v>525</v>
      </c>
      <c r="D38" s="9" t="s">
        <v>526</v>
      </c>
      <c r="E38" s="11" t="s">
        <v>61</v>
      </c>
      <c r="F38" s="9" t="s">
        <v>527</v>
      </c>
    </row>
    <row r="39" customFormat="false" ht="15" hidden="false" customHeight="true" outlineLevel="0" collapsed="false">
      <c r="A39" s="9" t="s">
        <v>528</v>
      </c>
      <c r="B39" s="9" t="s">
        <v>27</v>
      </c>
      <c r="C39" s="9" t="s">
        <v>529</v>
      </c>
      <c r="D39" s="9" t="s">
        <v>436</v>
      </c>
      <c r="E39" s="11" t="s">
        <v>61</v>
      </c>
      <c r="F39" s="9" t="s">
        <v>516</v>
      </c>
    </row>
    <row r="40" customFormat="false" ht="15" hidden="false" customHeight="true" outlineLevel="0" collapsed="false">
      <c r="A40" s="9" t="s">
        <v>530</v>
      </c>
      <c r="B40" s="9" t="s">
        <v>27</v>
      </c>
      <c r="C40" s="9" t="s">
        <v>531</v>
      </c>
      <c r="D40" s="9" t="s">
        <v>436</v>
      </c>
      <c r="E40" s="11" t="s">
        <v>61</v>
      </c>
      <c r="F40" s="9" t="s">
        <v>532</v>
      </c>
    </row>
    <row r="41" customFormat="false" ht="15" hidden="false" customHeight="true" outlineLevel="0" collapsed="false">
      <c r="A41" s="9" t="s">
        <v>533</v>
      </c>
      <c r="B41" s="9" t="s">
        <v>27</v>
      </c>
      <c r="C41" s="9" t="s">
        <v>534</v>
      </c>
      <c r="D41" s="9" t="s">
        <v>223</v>
      </c>
      <c r="E41" s="10" t="s">
        <v>42</v>
      </c>
      <c r="F41" s="9" t="s">
        <v>418</v>
      </c>
    </row>
    <row r="42" customFormat="false" ht="15" hidden="false" customHeight="true" outlineLevel="0" collapsed="false">
      <c r="A42" s="9" t="s">
        <v>535</v>
      </c>
      <c r="B42" s="9" t="s">
        <v>27</v>
      </c>
      <c r="C42" s="9" t="s">
        <v>536</v>
      </c>
      <c r="D42" s="9" t="s">
        <v>223</v>
      </c>
      <c r="E42" s="11" t="s">
        <v>61</v>
      </c>
      <c r="F42" s="9" t="s">
        <v>537</v>
      </c>
    </row>
  </sheetData>
  <autoFilter ref="A1:F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8"/>
    <col collapsed="false" customWidth="true" hidden="false" outlineLevel="0" max="3" min="3" style="1" width="55"/>
    <col collapsed="false" customWidth="true" hidden="false" outlineLevel="0" max="4" min="4" style="1" width="26"/>
    <col collapsed="false" customWidth="true" hidden="false" outlineLevel="0" max="5" min="5" style="1" width="13"/>
    <col collapsed="false" customWidth="true" hidden="false" outlineLevel="0" max="6" min="6" style="1" width="55"/>
    <col collapsed="false" customWidth="true" hidden="false" outlineLevel="0" max="7" min="7" style="1" width="20"/>
  </cols>
  <sheetData>
    <row r="1" customFormat="false" ht="23.25" hidden="false" customHeight="true" outlineLevel="0" collapsed="false">
      <c r="A1" s="8" t="s">
        <v>31</v>
      </c>
      <c r="B1" s="8" t="s">
        <v>538</v>
      </c>
      <c r="C1" s="8" t="s">
        <v>32</v>
      </c>
      <c r="D1" s="8" t="s">
        <v>426</v>
      </c>
      <c r="E1" s="8" t="s">
        <v>8</v>
      </c>
      <c r="F1" s="8" t="s">
        <v>35</v>
      </c>
      <c r="G1" s="8" t="s">
        <v>36</v>
      </c>
    </row>
    <row r="2" customFormat="false" ht="23.25" hidden="false" customHeight="true" outlineLevel="0" collapsed="false">
      <c r="A2" s="9" t="s">
        <v>539</v>
      </c>
      <c r="B2" s="9" t="s">
        <v>540</v>
      </c>
      <c r="C2" s="9" t="s">
        <v>541</v>
      </c>
      <c r="D2" s="9" t="s">
        <v>223</v>
      </c>
      <c r="E2" s="10" t="s">
        <v>42</v>
      </c>
      <c r="F2" s="9" t="s">
        <v>542</v>
      </c>
      <c r="G2" s="9"/>
    </row>
    <row r="3" customFormat="false" ht="23.25" hidden="false" customHeight="true" outlineLevel="0" collapsed="false">
      <c r="A3" s="9" t="s">
        <v>543</v>
      </c>
      <c r="B3" s="9" t="s">
        <v>540</v>
      </c>
      <c r="C3" s="9" t="s">
        <v>544</v>
      </c>
      <c r="D3" s="9" t="s">
        <v>223</v>
      </c>
      <c r="E3" s="10" t="s">
        <v>42</v>
      </c>
      <c r="F3" s="9" t="s">
        <v>545</v>
      </c>
      <c r="G3" s="9"/>
    </row>
    <row r="4" customFormat="false" ht="15" hidden="false" customHeight="true" outlineLevel="0" collapsed="false">
      <c r="A4" s="9" t="s">
        <v>546</v>
      </c>
      <c r="B4" s="9" t="s">
        <v>547</v>
      </c>
      <c r="C4" s="9" t="s">
        <v>548</v>
      </c>
      <c r="D4" s="9" t="s">
        <v>223</v>
      </c>
      <c r="E4" s="10" t="s">
        <v>42</v>
      </c>
      <c r="F4" s="9" t="s">
        <v>549</v>
      </c>
      <c r="G4" s="9" t="s">
        <v>550</v>
      </c>
    </row>
    <row r="5" customFormat="false" ht="23.25" hidden="false" customHeight="true" outlineLevel="0" collapsed="false">
      <c r="A5" s="9" t="s">
        <v>551</v>
      </c>
      <c r="B5" s="9" t="s">
        <v>547</v>
      </c>
      <c r="C5" s="9" t="s">
        <v>552</v>
      </c>
      <c r="D5" s="9" t="s">
        <v>553</v>
      </c>
      <c r="E5" s="10" t="s">
        <v>42</v>
      </c>
      <c r="F5" s="9" t="s">
        <v>554</v>
      </c>
      <c r="G5" s="9"/>
    </row>
    <row r="6" customFormat="false" ht="15" hidden="false" customHeight="true" outlineLevel="0" collapsed="false">
      <c r="A6" s="9" t="s">
        <v>555</v>
      </c>
      <c r="B6" s="9" t="s">
        <v>556</v>
      </c>
      <c r="C6" s="9" t="s">
        <v>557</v>
      </c>
      <c r="D6" s="9" t="s">
        <v>223</v>
      </c>
      <c r="E6" s="10" t="s">
        <v>42</v>
      </c>
      <c r="F6" s="9" t="s">
        <v>558</v>
      </c>
      <c r="G6" s="9"/>
    </row>
    <row r="7" customFormat="false" ht="23.25" hidden="false" customHeight="true" outlineLevel="0" collapsed="false">
      <c r="A7" s="9" t="s">
        <v>559</v>
      </c>
      <c r="B7" s="9" t="s">
        <v>556</v>
      </c>
      <c r="C7" s="9" t="s">
        <v>560</v>
      </c>
      <c r="D7" s="9" t="s">
        <v>223</v>
      </c>
      <c r="E7" s="10" t="s">
        <v>42</v>
      </c>
      <c r="F7" s="9" t="s">
        <v>561</v>
      </c>
      <c r="G7" s="9"/>
    </row>
    <row r="8" customFormat="false" ht="15" hidden="false" customHeight="true" outlineLevel="0" collapsed="false">
      <c r="A8" s="9" t="s">
        <v>562</v>
      </c>
      <c r="B8" s="9" t="s">
        <v>556</v>
      </c>
      <c r="C8" s="9" t="s">
        <v>563</v>
      </c>
      <c r="D8" s="9" t="s">
        <v>223</v>
      </c>
      <c r="E8" s="11" t="s">
        <v>61</v>
      </c>
      <c r="F8" s="9" t="s">
        <v>564</v>
      </c>
      <c r="G8" s="9"/>
    </row>
    <row r="9" customFormat="false" ht="23.25" hidden="false" customHeight="true" outlineLevel="0" collapsed="false">
      <c r="A9" s="9" t="s">
        <v>565</v>
      </c>
      <c r="B9" s="9" t="s">
        <v>556</v>
      </c>
      <c r="C9" s="9" t="s">
        <v>566</v>
      </c>
      <c r="D9" s="9" t="s">
        <v>223</v>
      </c>
      <c r="E9" s="10" t="s">
        <v>42</v>
      </c>
      <c r="F9" s="9" t="s">
        <v>567</v>
      </c>
      <c r="G9" s="9"/>
    </row>
    <row r="10" customFormat="false" ht="23.25" hidden="false" customHeight="true" outlineLevel="0" collapsed="false">
      <c r="A10" s="9" t="s">
        <v>568</v>
      </c>
      <c r="B10" s="9" t="s">
        <v>556</v>
      </c>
      <c r="C10" s="9" t="s">
        <v>569</v>
      </c>
      <c r="D10" s="9" t="s">
        <v>570</v>
      </c>
      <c r="E10" s="11" t="s">
        <v>61</v>
      </c>
      <c r="F10" s="9" t="s">
        <v>571</v>
      </c>
      <c r="G10" s="9" t="s">
        <v>572</v>
      </c>
    </row>
    <row r="11" customFormat="false" ht="23.25" hidden="false" customHeight="true" outlineLevel="0" collapsed="false">
      <c r="A11" s="9" t="s">
        <v>573</v>
      </c>
      <c r="B11" s="9" t="s">
        <v>574</v>
      </c>
      <c r="C11" s="9" t="s">
        <v>575</v>
      </c>
      <c r="D11" s="9" t="s">
        <v>576</v>
      </c>
      <c r="E11" s="10" t="s">
        <v>42</v>
      </c>
      <c r="F11" s="9" t="s">
        <v>577</v>
      </c>
      <c r="G11" s="9" t="s">
        <v>550</v>
      </c>
    </row>
    <row r="12" customFormat="false" ht="15" hidden="false" customHeight="true" outlineLevel="0" collapsed="false">
      <c r="A12" s="9" t="s">
        <v>578</v>
      </c>
      <c r="B12" s="9" t="s">
        <v>574</v>
      </c>
      <c r="C12" s="9" t="s">
        <v>579</v>
      </c>
      <c r="D12" s="9" t="s">
        <v>576</v>
      </c>
      <c r="E12" s="11" t="s">
        <v>61</v>
      </c>
      <c r="F12" s="9" t="s">
        <v>580</v>
      </c>
      <c r="G12" s="9" t="s">
        <v>550</v>
      </c>
    </row>
    <row r="13" customFormat="false" ht="23.25" hidden="false" customHeight="true" outlineLevel="0" collapsed="false">
      <c r="A13" s="9" t="s">
        <v>581</v>
      </c>
      <c r="B13" s="9" t="s">
        <v>582</v>
      </c>
      <c r="C13" s="9" t="s">
        <v>583</v>
      </c>
      <c r="D13" s="9" t="s">
        <v>223</v>
      </c>
      <c r="E13" s="9" t="s">
        <v>584</v>
      </c>
      <c r="F13" s="9" t="s">
        <v>585</v>
      </c>
      <c r="G13" s="9" t="s">
        <v>586</v>
      </c>
    </row>
    <row r="14" customFormat="false" ht="23.25" hidden="false" customHeight="true" outlineLevel="0" collapsed="false">
      <c r="A14" s="9" t="s">
        <v>587</v>
      </c>
      <c r="B14" s="9" t="s">
        <v>582</v>
      </c>
      <c r="C14" s="9" t="s">
        <v>588</v>
      </c>
      <c r="D14" s="9" t="s">
        <v>223</v>
      </c>
      <c r="E14" s="11" t="s">
        <v>61</v>
      </c>
      <c r="F14" s="9" t="s">
        <v>589</v>
      </c>
      <c r="G14" s="9" t="s">
        <v>586</v>
      </c>
    </row>
    <row r="15" customFormat="false" ht="15" hidden="false" customHeight="true" outlineLevel="0" collapsed="false">
      <c r="A15" s="9" t="s">
        <v>590</v>
      </c>
      <c r="B15" s="9" t="s">
        <v>582</v>
      </c>
      <c r="C15" s="9" t="s">
        <v>591</v>
      </c>
      <c r="D15" s="9" t="s">
        <v>223</v>
      </c>
      <c r="E15" s="11" t="s">
        <v>61</v>
      </c>
      <c r="F15" s="9" t="s">
        <v>592</v>
      </c>
      <c r="G15" s="9"/>
    </row>
    <row r="16" customFormat="false" ht="23.25" hidden="false" customHeight="true" outlineLevel="0" collapsed="false">
      <c r="A16" s="9" t="s">
        <v>593</v>
      </c>
      <c r="B16" s="9" t="s">
        <v>594</v>
      </c>
      <c r="C16" s="9" t="s">
        <v>595</v>
      </c>
      <c r="D16" s="9" t="s">
        <v>223</v>
      </c>
      <c r="E16" s="12" t="s">
        <v>80</v>
      </c>
      <c r="F16" s="9" t="s">
        <v>596</v>
      </c>
      <c r="G16" s="9" t="s">
        <v>597</v>
      </c>
    </row>
    <row r="17" customFormat="false" ht="23.25" hidden="false" customHeight="true" outlineLevel="0" collapsed="false">
      <c r="A17" s="9" t="s">
        <v>598</v>
      </c>
      <c r="B17" s="9" t="s">
        <v>599</v>
      </c>
      <c r="C17" s="9" t="s">
        <v>600</v>
      </c>
      <c r="D17" s="9" t="s">
        <v>601</v>
      </c>
      <c r="E17" s="11" t="s">
        <v>61</v>
      </c>
      <c r="F17" s="9" t="s">
        <v>602</v>
      </c>
      <c r="G17" s="9"/>
    </row>
    <row r="18" customFormat="false" ht="23.25" hidden="false" customHeight="true" outlineLevel="0" collapsed="false">
      <c r="A18" s="9" t="s">
        <v>603</v>
      </c>
      <c r="B18" s="9" t="s">
        <v>599</v>
      </c>
      <c r="C18" s="9" t="s">
        <v>604</v>
      </c>
      <c r="D18" s="9" t="s">
        <v>601</v>
      </c>
      <c r="E18" s="11" t="s">
        <v>61</v>
      </c>
      <c r="F18" s="9" t="s">
        <v>605</v>
      </c>
      <c r="G18" s="9"/>
    </row>
    <row r="19" customFormat="false" ht="23.25" hidden="false" customHeight="true" outlineLevel="0" collapsed="false">
      <c r="A19" s="9" t="s">
        <v>606</v>
      </c>
      <c r="B19" s="9" t="s">
        <v>607</v>
      </c>
      <c r="C19" s="9" t="s">
        <v>608</v>
      </c>
      <c r="D19" s="9" t="s">
        <v>223</v>
      </c>
      <c r="E19" s="11" t="s">
        <v>61</v>
      </c>
      <c r="F19" s="9" t="s">
        <v>609</v>
      </c>
      <c r="G19" s="9"/>
    </row>
    <row r="20" customFormat="false" ht="23.25" hidden="false" customHeight="true" outlineLevel="0" collapsed="false">
      <c r="A20" s="9" t="s">
        <v>610</v>
      </c>
      <c r="B20" s="9" t="s">
        <v>607</v>
      </c>
      <c r="C20" s="9" t="s">
        <v>611</v>
      </c>
      <c r="D20" s="9" t="s">
        <v>612</v>
      </c>
      <c r="E20" s="11" t="s">
        <v>61</v>
      </c>
      <c r="F20" s="9" t="s">
        <v>613</v>
      </c>
      <c r="G20" s="9"/>
    </row>
    <row r="21" customFormat="false" ht="23.25" hidden="false" customHeight="true" outlineLevel="0" collapsed="false">
      <c r="A21" s="9" t="s">
        <v>614</v>
      </c>
      <c r="B21" s="9" t="s">
        <v>607</v>
      </c>
      <c r="C21" s="9" t="s">
        <v>615</v>
      </c>
      <c r="D21" s="9" t="s">
        <v>616</v>
      </c>
      <c r="E21" s="12" t="s">
        <v>80</v>
      </c>
      <c r="F21" s="9" t="s">
        <v>617</v>
      </c>
      <c r="G21" s="9"/>
    </row>
    <row r="22" customFormat="false" ht="23.25" hidden="false" customHeight="true" outlineLevel="0" collapsed="false">
      <c r="A22" s="9" t="s">
        <v>618</v>
      </c>
      <c r="B22" s="9" t="s">
        <v>619</v>
      </c>
      <c r="C22" s="9" t="s">
        <v>620</v>
      </c>
      <c r="D22" s="9" t="s">
        <v>621</v>
      </c>
      <c r="E22" s="11" t="s">
        <v>61</v>
      </c>
      <c r="F22" s="9" t="s">
        <v>622</v>
      </c>
      <c r="G22" s="9" t="s">
        <v>586</v>
      </c>
    </row>
    <row r="23" customFormat="false" ht="23.25" hidden="false" customHeight="true" outlineLevel="0" collapsed="false">
      <c r="A23" s="9" t="s">
        <v>623</v>
      </c>
      <c r="B23" s="9" t="s">
        <v>619</v>
      </c>
      <c r="C23" s="9" t="s">
        <v>624</v>
      </c>
      <c r="D23" s="9" t="s">
        <v>223</v>
      </c>
      <c r="E23" s="13" t="s">
        <v>188</v>
      </c>
      <c r="F23" s="9" t="s">
        <v>625</v>
      </c>
      <c r="G23" s="9"/>
    </row>
    <row r="24" customFormat="false" ht="23.25" hidden="false" customHeight="true" outlineLevel="0" collapsed="false">
      <c r="A24" s="9" t="s">
        <v>626</v>
      </c>
      <c r="B24" s="9" t="s">
        <v>572</v>
      </c>
      <c r="C24" s="9" t="s">
        <v>627</v>
      </c>
      <c r="D24" s="9" t="s">
        <v>628</v>
      </c>
      <c r="E24" s="12" t="s">
        <v>80</v>
      </c>
      <c r="F24" s="9" t="s">
        <v>629</v>
      </c>
      <c r="G24" s="9" t="s">
        <v>572</v>
      </c>
    </row>
    <row r="25" customFormat="false" ht="23.85" hidden="false" customHeight="false" outlineLevel="0" collapsed="false">
      <c r="A25" s="9" t="s">
        <v>630</v>
      </c>
      <c r="B25" s="9" t="s">
        <v>540</v>
      </c>
      <c r="C25" s="9" t="s">
        <v>631</v>
      </c>
      <c r="D25" s="9" t="s">
        <v>223</v>
      </c>
      <c r="E25" s="11" t="s">
        <v>61</v>
      </c>
      <c r="F25" s="9" t="s">
        <v>632</v>
      </c>
      <c r="G25" s="9"/>
    </row>
    <row r="26" customFormat="false" ht="23.85" hidden="false" customHeight="false" outlineLevel="0" collapsed="false">
      <c r="A26" s="9" t="s">
        <v>633</v>
      </c>
      <c r="B26" s="9" t="s">
        <v>574</v>
      </c>
      <c r="C26" s="9" t="s">
        <v>634</v>
      </c>
      <c r="D26" s="9" t="s">
        <v>576</v>
      </c>
      <c r="E26" s="10" t="s">
        <v>42</v>
      </c>
      <c r="F26" s="9" t="s">
        <v>635</v>
      </c>
      <c r="G26" s="9" t="s">
        <v>550</v>
      </c>
    </row>
  </sheetData>
  <autoFilter ref="A1:G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34"/>
    <col collapsed="false" customWidth="true" hidden="false" outlineLevel="0" max="4" min="3" style="1" width="12"/>
    <col collapsed="false" customWidth="true" hidden="false" outlineLevel="0" max="5" min="5" style="1" width="22"/>
    <col collapsed="false" customWidth="true" hidden="false" outlineLevel="0" max="6" min="6" style="1" width="24"/>
    <col collapsed="false" customWidth="true" hidden="false" outlineLevel="0" max="7" min="7" style="1" width="34"/>
    <col collapsed="false" customWidth="true" hidden="false" outlineLevel="0" max="8" min="8" style="1" width="48"/>
    <col collapsed="false" customWidth="true" hidden="false" outlineLevel="0" max="9" min="9" style="1" width="12"/>
    <col collapsed="false" customWidth="true" hidden="false" outlineLevel="0" max="10" min="10" style="1" width="14"/>
  </cols>
  <sheetData>
    <row r="1" customFormat="false" ht="34.5" hidden="false" customHeight="true" outlineLevel="0" collapsed="false">
      <c r="A1" s="8" t="s">
        <v>16</v>
      </c>
      <c r="B1" s="8" t="s">
        <v>636</v>
      </c>
      <c r="C1" s="8" t="s">
        <v>637</v>
      </c>
      <c r="D1" s="8" t="s">
        <v>638</v>
      </c>
      <c r="E1" s="8" t="s">
        <v>639</v>
      </c>
      <c r="F1" s="8" t="s">
        <v>640</v>
      </c>
      <c r="G1" s="8" t="s">
        <v>641</v>
      </c>
      <c r="H1" s="8" t="s">
        <v>642</v>
      </c>
      <c r="I1" s="8" t="s">
        <v>643</v>
      </c>
      <c r="J1" s="8" t="s">
        <v>231</v>
      </c>
    </row>
    <row r="2" customFormat="false" ht="23.25" hidden="false" customHeight="true" outlineLevel="0" collapsed="false">
      <c r="A2" s="9" t="s">
        <v>21</v>
      </c>
      <c r="B2" s="9" t="s">
        <v>644</v>
      </c>
      <c r="C2" s="9" t="s">
        <v>645</v>
      </c>
      <c r="D2" s="9" t="s">
        <v>646</v>
      </c>
      <c r="E2" s="9" t="s">
        <v>647</v>
      </c>
      <c r="F2" s="9" t="s">
        <v>648</v>
      </c>
      <c r="G2" s="9" t="s">
        <v>649</v>
      </c>
      <c r="H2" s="9" t="s">
        <v>650</v>
      </c>
      <c r="I2" s="9" t="s">
        <v>651</v>
      </c>
      <c r="J2" s="10" t="s">
        <v>42</v>
      </c>
    </row>
    <row r="3" customFormat="false" ht="23.25" hidden="false" customHeight="true" outlineLevel="0" collapsed="false">
      <c r="A3" s="9" t="s">
        <v>21</v>
      </c>
      <c r="B3" s="9" t="s">
        <v>652</v>
      </c>
      <c r="C3" s="9" t="s">
        <v>653</v>
      </c>
      <c r="D3" s="9" t="s">
        <v>646</v>
      </c>
      <c r="E3" s="9" t="s">
        <v>654</v>
      </c>
      <c r="F3" s="9" t="s">
        <v>655</v>
      </c>
      <c r="G3" s="9" t="s">
        <v>656</v>
      </c>
      <c r="H3" s="9" t="s">
        <v>657</v>
      </c>
      <c r="I3" s="9" t="s">
        <v>658</v>
      </c>
      <c r="J3" s="10" t="s">
        <v>42</v>
      </c>
    </row>
    <row r="4" customFormat="false" ht="23.25" hidden="false" customHeight="true" outlineLevel="0" collapsed="false">
      <c r="A4" s="9" t="s">
        <v>21</v>
      </c>
      <c r="B4" s="9" t="s">
        <v>659</v>
      </c>
      <c r="C4" s="9" t="s">
        <v>645</v>
      </c>
      <c r="D4" s="9" t="s">
        <v>660</v>
      </c>
      <c r="E4" s="9" t="s">
        <v>661</v>
      </c>
      <c r="F4" s="9" t="s">
        <v>662</v>
      </c>
      <c r="G4" s="9" t="s">
        <v>663</v>
      </c>
      <c r="H4" s="9" t="s">
        <v>664</v>
      </c>
      <c r="I4" s="9" t="s">
        <v>257</v>
      </c>
      <c r="J4" s="11" t="s">
        <v>61</v>
      </c>
    </row>
    <row r="5" customFormat="false" ht="23.25" hidden="false" customHeight="true" outlineLevel="0" collapsed="false">
      <c r="A5" s="9" t="s">
        <v>21</v>
      </c>
      <c r="B5" s="9" t="s">
        <v>665</v>
      </c>
      <c r="C5" s="9" t="s">
        <v>253</v>
      </c>
      <c r="D5" s="9" t="s">
        <v>646</v>
      </c>
      <c r="E5" s="9" t="s">
        <v>647</v>
      </c>
      <c r="F5" s="9" t="s">
        <v>666</v>
      </c>
      <c r="G5" s="9" t="s">
        <v>667</v>
      </c>
      <c r="H5" s="9" t="s">
        <v>668</v>
      </c>
      <c r="I5" s="9" t="s">
        <v>251</v>
      </c>
      <c r="J5" s="10" t="s">
        <v>42</v>
      </c>
    </row>
    <row r="6" customFormat="false" ht="15" hidden="false" customHeight="true" outlineLevel="0" collapsed="false">
      <c r="A6" s="9" t="s">
        <v>21</v>
      </c>
      <c r="B6" s="9" t="s">
        <v>669</v>
      </c>
      <c r="C6" s="9" t="s">
        <v>670</v>
      </c>
      <c r="D6" s="9" t="s">
        <v>646</v>
      </c>
      <c r="E6" s="9" t="s">
        <v>671</v>
      </c>
      <c r="F6" s="9" t="s">
        <v>672</v>
      </c>
      <c r="G6" s="9" t="s">
        <v>673</v>
      </c>
      <c r="H6" s="9" t="s">
        <v>674</v>
      </c>
      <c r="I6" s="9" t="s">
        <v>675</v>
      </c>
      <c r="J6" s="11" t="s">
        <v>61</v>
      </c>
    </row>
    <row r="7" customFormat="false" ht="23.25" hidden="false" customHeight="true" outlineLevel="0" collapsed="false">
      <c r="A7" s="9" t="s">
        <v>22</v>
      </c>
      <c r="B7" s="9" t="s">
        <v>676</v>
      </c>
      <c r="C7" s="9" t="s">
        <v>645</v>
      </c>
      <c r="D7" s="9" t="s">
        <v>646</v>
      </c>
      <c r="E7" s="9" t="s">
        <v>677</v>
      </c>
      <c r="F7" s="9" t="s">
        <v>678</v>
      </c>
      <c r="G7" s="9" t="s">
        <v>679</v>
      </c>
      <c r="H7" s="9" t="s">
        <v>680</v>
      </c>
      <c r="I7" s="9" t="s">
        <v>681</v>
      </c>
      <c r="J7" s="10" t="s">
        <v>42</v>
      </c>
    </row>
    <row r="8" customFormat="false" ht="23.25" hidden="false" customHeight="true" outlineLevel="0" collapsed="false">
      <c r="A8" s="9" t="s">
        <v>22</v>
      </c>
      <c r="B8" s="9" t="s">
        <v>682</v>
      </c>
      <c r="C8" s="9" t="s">
        <v>645</v>
      </c>
      <c r="D8" s="9" t="s">
        <v>646</v>
      </c>
      <c r="E8" s="9" t="s">
        <v>683</v>
      </c>
      <c r="F8" s="9" t="s">
        <v>678</v>
      </c>
      <c r="G8" s="9" t="s">
        <v>684</v>
      </c>
      <c r="H8" s="9" t="s">
        <v>685</v>
      </c>
      <c r="I8" s="9" t="s">
        <v>246</v>
      </c>
      <c r="J8" s="10" t="s">
        <v>42</v>
      </c>
    </row>
    <row r="9" customFormat="false" ht="23.25" hidden="false" customHeight="true" outlineLevel="0" collapsed="false">
      <c r="A9" s="9" t="s">
        <v>22</v>
      </c>
      <c r="B9" s="9" t="s">
        <v>686</v>
      </c>
      <c r="C9" s="9" t="s">
        <v>687</v>
      </c>
      <c r="D9" s="9" t="s">
        <v>646</v>
      </c>
      <c r="E9" s="9" t="s">
        <v>688</v>
      </c>
      <c r="F9" s="9" t="s">
        <v>689</v>
      </c>
      <c r="G9" s="9" t="s">
        <v>690</v>
      </c>
      <c r="H9" s="9" t="s">
        <v>691</v>
      </c>
      <c r="I9" s="9" t="s">
        <v>240</v>
      </c>
      <c r="J9" s="10" t="s">
        <v>42</v>
      </c>
    </row>
    <row r="10" customFormat="false" ht="15" hidden="false" customHeight="true" outlineLevel="0" collapsed="false">
      <c r="A10" s="9" t="s">
        <v>22</v>
      </c>
      <c r="B10" s="9" t="s">
        <v>692</v>
      </c>
      <c r="C10" s="9" t="s">
        <v>645</v>
      </c>
      <c r="D10" s="9" t="s">
        <v>660</v>
      </c>
      <c r="E10" s="9" t="s">
        <v>693</v>
      </c>
      <c r="F10" s="9" t="s">
        <v>694</v>
      </c>
      <c r="G10" s="9" t="s">
        <v>695</v>
      </c>
      <c r="H10" s="9" t="s">
        <v>696</v>
      </c>
      <c r="I10" s="9" t="s">
        <v>257</v>
      </c>
      <c r="J10" s="11" t="s">
        <v>61</v>
      </c>
    </row>
    <row r="11" customFormat="false" ht="15" hidden="false" customHeight="true" outlineLevel="0" collapsed="false">
      <c r="A11" s="9" t="s">
        <v>22</v>
      </c>
      <c r="B11" s="9" t="s">
        <v>697</v>
      </c>
      <c r="C11" s="9" t="s">
        <v>645</v>
      </c>
      <c r="D11" s="9" t="s">
        <v>660</v>
      </c>
      <c r="E11" s="9" t="s">
        <v>698</v>
      </c>
      <c r="F11" s="9" t="s">
        <v>699</v>
      </c>
      <c r="G11" s="9" t="s">
        <v>700</v>
      </c>
      <c r="H11" s="9" t="s">
        <v>701</v>
      </c>
      <c r="I11" s="9" t="s">
        <v>283</v>
      </c>
      <c r="J11" s="11" t="s">
        <v>61</v>
      </c>
    </row>
    <row r="12" customFormat="false" ht="23.25" hidden="false" customHeight="true" outlineLevel="0" collapsed="false">
      <c r="A12" s="9" t="s">
        <v>23</v>
      </c>
      <c r="B12" s="9" t="s">
        <v>702</v>
      </c>
      <c r="C12" s="9" t="s">
        <v>645</v>
      </c>
      <c r="D12" s="9" t="s">
        <v>646</v>
      </c>
      <c r="E12" s="9" t="s">
        <v>703</v>
      </c>
      <c r="F12" s="9" t="s">
        <v>704</v>
      </c>
      <c r="G12" s="9" t="s">
        <v>705</v>
      </c>
      <c r="H12" s="9" t="s">
        <v>706</v>
      </c>
      <c r="I12" s="9" t="s">
        <v>707</v>
      </c>
      <c r="J12" s="10" t="s">
        <v>42</v>
      </c>
    </row>
    <row r="13" customFormat="false" ht="23.25" hidden="false" customHeight="true" outlineLevel="0" collapsed="false">
      <c r="A13" s="9" t="s">
        <v>23</v>
      </c>
      <c r="B13" s="9" t="s">
        <v>708</v>
      </c>
      <c r="C13" s="9" t="s">
        <v>645</v>
      </c>
      <c r="D13" s="9" t="s">
        <v>646</v>
      </c>
      <c r="E13" s="9" t="s">
        <v>709</v>
      </c>
      <c r="F13" s="9" t="s">
        <v>710</v>
      </c>
      <c r="G13" s="9" t="s">
        <v>711</v>
      </c>
      <c r="H13" s="9" t="s">
        <v>712</v>
      </c>
      <c r="I13" s="9" t="s">
        <v>713</v>
      </c>
      <c r="J13" s="10" t="s">
        <v>42</v>
      </c>
    </row>
    <row r="14" customFormat="false" ht="23.25" hidden="false" customHeight="true" outlineLevel="0" collapsed="false">
      <c r="A14" s="9" t="s">
        <v>23</v>
      </c>
      <c r="B14" s="9" t="s">
        <v>714</v>
      </c>
      <c r="C14" s="9" t="s">
        <v>645</v>
      </c>
      <c r="D14" s="9" t="s">
        <v>646</v>
      </c>
      <c r="E14" s="9" t="s">
        <v>715</v>
      </c>
      <c r="F14" s="9" t="s">
        <v>716</v>
      </c>
      <c r="G14" s="9" t="s">
        <v>717</v>
      </c>
      <c r="H14" s="9" t="s">
        <v>718</v>
      </c>
      <c r="I14" s="9" t="s">
        <v>719</v>
      </c>
      <c r="J14" s="10" t="s">
        <v>42</v>
      </c>
    </row>
    <row r="15" customFormat="false" ht="23.25" hidden="false" customHeight="true" outlineLevel="0" collapsed="false">
      <c r="A15" s="9" t="s">
        <v>23</v>
      </c>
      <c r="B15" s="9" t="s">
        <v>720</v>
      </c>
      <c r="C15" s="9" t="s">
        <v>721</v>
      </c>
      <c r="D15" s="9" t="s">
        <v>646</v>
      </c>
      <c r="E15" s="9" t="s">
        <v>715</v>
      </c>
      <c r="F15" s="9" t="s">
        <v>689</v>
      </c>
      <c r="G15" s="9" t="s">
        <v>722</v>
      </c>
      <c r="H15" s="9" t="s">
        <v>723</v>
      </c>
      <c r="I15" s="9" t="s">
        <v>724</v>
      </c>
      <c r="J15" s="11" t="s">
        <v>61</v>
      </c>
    </row>
    <row r="16" customFormat="false" ht="23.25" hidden="false" customHeight="true" outlineLevel="0" collapsed="false">
      <c r="A16" s="9" t="s">
        <v>25</v>
      </c>
      <c r="B16" s="9" t="s">
        <v>725</v>
      </c>
      <c r="C16" s="9" t="s">
        <v>645</v>
      </c>
      <c r="D16" s="9" t="s">
        <v>646</v>
      </c>
      <c r="E16" s="9" t="s">
        <v>726</v>
      </c>
      <c r="F16" s="9" t="s">
        <v>710</v>
      </c>
      <c r="G16" s="9" t="s">
        <v>727</v>
      </c>
      <c r="H16" s="9" t="s">
        <v>728</v>
      </c>
      <c r="I16" s="9" t="s">
        <v>729</v>
      </c>
      <c r="J16" s="10" t="s">
        <v>42</v>
      </c>
    </row>
    <row r="17" customFormat="false" ht="15" hidden="false" customHeight="true" outlineLevel="0" collapsed="false">
      <c r="A17" s="9" t="s">
        <v>25</v>
      </c>
      <c r="B17" s="9" t="s">
        <v>730</v>
      </c>
      <c r="C17" s="9" t="s">
        <v>645</v>
      </c>
      <c r="D17" s="9" t="s">
        <v>660</v>
      </c>
      <c r="E17" s="9" t="s">
        <v>731</v>
      </c>
      <c r="F17" s="9" t="s">
        <v>732</v>
      </c>
      <c r="G17" s="9" t="s">
        <v>733</v>
      </c>
      <c r="H17" s="9" t="s">
        <v>734</v>
      </c>
      <c r="I17" s="9" t="s">
        <v>283</v>
      </c>
      <c r="J17" s="11" t="s">
        <v>61</v>
      </c>
    </row>
    <row r="18" customFormat="false" ht="15" hidden="false" customHeight="true" outlineLevel="0" collapsed="false">
      <c r="A18" s="9" t="s">
        <v>25</v>
      </c>
      <c r="B18" s="9" t="s">
        <v>735</v>
      </c>
      <c r="C18" s="9" t="s">
        <v>736</v>
      </c>
      <c r="D18" s="9" t="s">
        <v>646</v>
      </c>
      <c r="E18" s="9" t="s">
        <v>737</v>
      </c>
      <c r="F18" s="9" t="s">
        <v>689</v>
      </c>
      <c r="G18" s="9" t="s">
        <v>738</v>
      </c>
      <c r="H18" s="9" t="s">
        <v>739</v>
      </c>
      <c r="I18" s="9" t="s">
        <v>283</v>
      </c>
      <c r="J18" s="11" t="s">
        <v>61</v>
      </c>
    </row>
    <row r="19" customFormat="false" ht="23.25" hidden="false" customHeight="true" outlineLevel="0" collapsed="false">
      <c r="A19" s="9" t="s">
        <v>25</v>
      </c>
      <c r="B19" s="9" t="s">
        <v>740</v>
      </c>
      <c r="C19" s="9" t="s">
        <v>645</v>
      </c>
      <c r="D19" s="9" t="s">
        <v>660</v>
      </c>
      <c r="E19" s="9" t="s">
        <v>737</v>
      </c>
      <c r="F19" s="9" t="s">
        <v>741</v>
      </c>
      <c r="G19" s="9" t="s">
        <v>742</v>
      </c>
      <c r="H19" s="9" t="s">
        <v>743</v>
      </c>
      <c r="I19" s="9" t="s">
        <v>707</v>
      </c>
      <c r="J19" s="11" t="s">
        <v>61</v>
      </c>
    </row>
    <row r="20" customFormat="false" ht="23.25" hidden="false" customHeight="true" outlineLevel="0" collapsed="false">
      <c r="A20" s="9" t="s">
        <v>26</v>
      </c>
      <c r="B20" s="9" t="s">
        <v>744</v>
      </c>
      <c r="C20" s="9" t="s">
        <v>645</v>
      </c>
      <c r="D20" s="9" t="s">
        <v>646</v>
      </c>
      <c r="E20" s="9" t="s">
        <v>698</v>
      </c>
      <c r="F20" s="9" t="s">
        <v>745</v>
      </c>
      <c r="G20" s="9" t="s">
        <v>746</v>
      </c>
      <c r="H20" s="9" t="s">
        <v>747</v>
      </c>
      <c r="I20" s="9" t="s">
        <v>707</v>
      </c>
      <c r="J20" s="10" t="s">
        <v>42</v>
      </c>
    </row>
    <row r="21" customFormat="false" ht="23.25" hidden="false" customHeight="true" outlineLevel="0" collapsed="false">
      <c r="A21" s="9" t="s">
        <v>26</v>
      </c>
      <c r="B21" s="9" t="s">
        <v>748</v>
      </c>
      <c r="C21" s="9" t="s">
        <v>645</v>
      </c>
      <c r="D21" s="9" t="s">
        <v>646</v>
      </c>
      <c r="E21" s="9" t="s">
        <v>726</v>
      </c>
      <c r="F21" s="9" t="s">
        <v>710</v>
      </c>
      <c r="G21" s="9" t="s">
        <v>749</v>
      </c>
      <c r="H21" s="9" t="s">
        <v>750</v>
      </c>
      <c r="I21" s="9" t="s">
        <v>751</v>
      </c>
      <c r="J21" s="10" t="s">
        <v>42</v>
      </c>
    </row>
    <row r="22" customFormat="false" ht="23.25" hidden="false" customHeight="true" outlineLevel="0" collapsed="false">
      <c r="A22" s="9" t="s">
        <v>26</v>
      </c>
      <c r="B22" s="9" t="s">
        <v>752</v>
      </c>
      <c r="C22" s="9" t="s">
        <v>753</v>
      </c>
      <c r="D22" s="9" t="s">
        <v>646</v>
      </c>
      <c r="E22" s="9" t="s">
        <v>698</v>
      </c>
      <c r="F22" s="9" t="s">
        <v>754</v>
      </c>
      <c r="G22" s="9" t="s">
        <v>755</v>
      </c>
      <c r="H22" s="9" t="s">
        <v>756</v>
      </c>
      <c r="I22" s="9" t="s">
        <v>240</v>
      </c>
      <c r="J22" s="10" t="s">
        <v>42</v>
      </c>
    </row>
    <row r="23" customFormat="false" ht="23.25" hidden="false" customHeight="true" outlineLevel="0" collapsed="false">
      <c r="A23" s="9" t="s">
        <v>27</v>
      </c>
      <c r="B23" s="9" t="s">
        <v>757</v>
      </c>
      <c r="C23" s="9" t="s">
        <v>645</v>
      </c>
      <c r="D23" s="9" t="s">
        <v>646</v>
      </c>
      <c r="E23" s="9" t="s">
        <v>758</v>
      </c>
      <c r="F23" s="9" t="s">
        <v>678</v>
      </c>
      <c r="G23" s="9" t="s">
        <v>759</v>
      </c>
      <c r="H23" s="9" t="s">
        <v>760</v>
      </c>
      <c r="I23" s="9" t="s">
        <v>262</v>
      </c>
      <c r="J23" s="10" t="s">
        <v>42</v>
      </c>
    </row>
    <row r="24" customFormat="false" ht="15" hidden="false" customHeight="true" outlineLevel="0" collapsed="false">
      <c r="A24" s="9" t="s">
        <v>27</v>
      </c>
      <c r="B24" s="9" t="s">
        <v>761</v>
      </c>
      <c r="C24" s="9" t="s">
        <v>645</v>
      </c>
      <c r="D24" s="9" t="s">
        <v>660</v>
      </c>
      <c r="E24" s="9" t="s">
        <v>762</v>
      </c>
      <c r="F24" s="9" t="s">
        <v>763</v>
      </c>
      <c r="G24" s="9" t="s">
        <v>764</v>
      </c>
      <c r="H24" s="9" t="s">
        <v>765</v>
      </c>
      <c r="I24" s="9" t="s">
        <v>681</v>
      </c>
      <c r="J24" s="11" t="s">
        <v>61</v>
      </c>
    </row>
    <row r="25" customFormat="false" ht="23.25" hidden="false" customHeight="true" outlineLevel="0" collapsed="false">
      <c r="A25" s="9" t="s">
        <v>27</v>
      </c>
      <c r="B25" s="9" t="s">
        <v>766</v>
      </c>
      <c r="C25" s="9" t="s">
        <v>645</v>
      </c>
      <c r="D25" s="9" t="s">
        <v>660</v>
      </c>
      <c r="E25" s="9" t="s">
        <v>758</v>
      </c>
      <c r="F25" s="9" t="s">
        <v>767</v>
      </c>
      <c r="G25" s="9" t="s">
        <v>768</v>
      </c>
      <c r="H25" s="9" t="s">
        <v>769</v>
      </c>
      <c r="I25" s="9" t="s">
        <v>283</v>
      </c>
      <c r="J25" s="11" t="s">
        <v>61</v>
      </c>
    </row>
    <row r="26" customFormat="false" ht="23.25" hidden="false" customHeight="true" outlineLevel="0" collapsed="false">
      <c r="A26" s="9" t="s">
        <v>27</v>
      </c>
      <c r="B26" s="9" t="s">
        <v>770</v>
      </c>
      <c r="C26" s="9" t="s">
        <v>771</v>
      </c>
      <c r="D26" s="9" t="s">
        <v>646</v>
      </c>
      <c r="E26" s="9" t="s">
        <v>758</v>
      </c>
      <c r="F26" s="9" t="s">
        <v>689</v>
      </c>
      <c r="G26" s="9" t="s">
        <v>772</v>
      </c>
      <c r="H26" s="9" t="s">
        <v>773</v>
      </c>
      <c r="I26" s="9" t="s">
        <v>240</v>
      </c>
      <c r="J26" s="10" t="s">
        <v>42</v>
      </c>
    </row>
    <row r="27" customFormat="false" ht="23.25" hidden="false" customHeight="true" outlineLevel="0" collapsed="false">
      <c r="A27" s="9" t="s">
        <v>24</v>
      </c>
      <c r="B27" s="9" t="s">
        <v>774</v>
      </c>
      <c r="C27" s="9" t="s">
        <v>645</v>
      </c>
      <c r="D27" s="9" t="s">
        <v>775</v>
      </c>
      <c r="E27" s="9" t="s">
        <v>775</v>
      </c>
      <c r="F27" s="9" t="s">
        <v>775</v>
      </c>
      <c r="G27" s="9" t="s">
        <v>82</v>
      </c>
      <c r="H27" s="9" t="s">
        <v>82</v>
      </c>
      <c r="I27" s="9" t="s">
        <v>339</v>
      </c>
      <c r="J27" s="10" t="s">
        <v>42</v>
      </c>
    </row>
  </sheetData>
  <autoFilter ref="A1:J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2"/>
    <col collapsed="false" customWidth="true" hidden="false" outlineLevel="0" max="3" min="3" style="1" width="60"/>
    <col collapsed="false" customWidth="true" hidden="false" outlineLevel="0" max="4" min="4" style="1" width="22"/>
  </cols>
  <sheetData>
    <row r="1" customFormat="false" ht="23.25" hidden="false" customHeight="true" outlineLevel="0" collapsed="false">
      <c r="A1" s="8" t="s">
        <v>776</v>
      </c>
      <c r="B1" s="8" t="s">
        <v>777</v>
      </c>
      <c r="C1" s="8" t="s">
        <v>778</v>
      </c>
      <c r="D1" s="8" t="s">
        <v>779</v>
      </c>
    </row>
    <row r="2" customFormat="false" ht="15" hidden="false" customHeight="true" outlineLevel="0" collapsed="false">
      <c r="A2" s="9" t="s">
        <v>636</v>
      </c>
      <c r="B2" s="9" t="s">
        <v>780</v>
      </c>
      <c r="C2" s="9" t="s">
        <v>781</v>
      </c>
      <c r="D2" s="9" t="s">
        <v>782</v>
      </c>
    </row>
    <row r="3" customFormat="false" ht="15" hidden="false" customHeight="true" outlineLevel="0" collapsed="false">
      <c r="A3" s="9" t="s">
        <v>636</v>
      </c>
      <c r="B3" s="9" t="s">
        <v>783</v>
      </c>
      <c r="C3" s="9" t="s">
        <v>784</v>
      </c>
      <c r="D3" s="9" t="s">
        <v>785</v>
      </c>
    </row>
    <row r="4" customFormat="false" ht="15" hidden="false" customHeight="true" outlineLevel="0" collapsed="false">
      <c r="A4" s="9" t="s">
        <v>636</v>
      </c>
      <c r="B4" s="9" t="s">
        <v>786</v>
      </c>
      <c r="C4" s="9" t="s">
        <v>787</v>
      </c>
      <c r="D4" s="9" t="s">
        <v>587</v>
      </c>
    </row>
    <row r="5" customFormat="false" ht="23.25" hidden="false" customHeight="true" outlineLevel="0" collapsed="false">
      <c r="A5" s="9" t="s">
        <v>636</v>
      </c>
      <c r="B5" s="9" t="s">
        <v>638</v>
      </c>
      <c r="C5" s="9" t="s">
        <v>788</v>
      </c>
      <c r="D5" s="9" t="s">
        <v>618</v>
      </c>
    </row>
    <row r="6" customFormat="false" ht="15" hidden="false" customHeight="true" outlineLevel="0" collapsed="false">
      <c r="A6" s="9" t="s">
        <v>636</v>
      </c>
      <c r="B6" s="9" t="s">
        <v>789</v>
      </c>
      <c r="C6" s="9" t="s">
        <v>790</v>
      </c>
      <c r="D6" s="9" t="s">
        <v>598</v>
      </c>
    </row>
    <row r="7" customFormat="false" ht="15" hidden="false" customHeight="true" outlineLevel="0" collapsed="false">
      <c r="A7" s="9" t="s">
        <v>636</v>
      </c>
      <c r="B7" s="9" t="s">
        <v>791</v>
      </c>
      <c r="C7" s="9" t="s">
        <v>790</v>
      </c>
      <c r="D7" s="9" t="s">
        <v>598</v>
      </c>
    </row>
    <row r="8" customFormat="false" ht="15" hidden="false" customHeight="true" outlineLevel="0" collapsed="false">
      <c r="A8" s="9" t="s">
        <v>636</v>
      </c>
      <c r="B8" s="9" t="s">
        <v>792</v>
      </c>
      <c r="C8" s="9" t="s">
        <v>793</v>
      </c>
      <c r="D8" s="9" t="s">
        <v>603</v>
      </c>
    </row>
    <row r="9" customFormat="false" ht="15" hidden="false" customHeight="true" outlineLevel="0" collapsed="false">
      <c r="A9" s="9" t="s">
        <v>636</v>
      </c>
      <c r="B9" s="9" t="s">
        <v>794</v>
      </c>
      <c r="C9" s="9" t="s">
        <v>795</v>
      </c>
      <c r="D9" s="9" t="s">
        <v>606</v>
      </c>
    </row>
    <row r="10" customFormat="false" ht="15" hidden="false" customHeight="true" outlineLevel="0" collapsed="false">
      <c r="A10" s="9" t="s">
        <v>636</v>
      </c>
      <c r="B10" s="9" t="s">
        <v>231</v>
      </c>
      <c r="C10" s="9" t="s">
        <v>796</v>
      </c>
      <c r="D10" s="9" t="s">
        <v>581</v>
      </c>
    </row>
    <row r="11" customFormat="false" ht="15" hidden="false" customHeight="true" outlineLevel="0" collapsed="false">
      <c r="A11" s="9" t="s">
        <v>797</v>
      </c>
      <c r="B11" s="9" t="s">
        <v>798</v>
      </c>
      <c r="C11" s="9" t="s">
        <v>799</v>
      </c>
      <c r="D11" s="9" t="s">
        <v>626</v>
      </c>
    </row>
    <row r="12" customFormat="false" ht="15" hidden="false" customHeight="true" outlineLevel="0" collapsed="false">
      <c r="A12" s="9" t="s">
        <v>797</v>
      </c>
      <c r="B12" s="9" t="s">
        <v>800</v>
      </c>
      <c r="C12" s="9" t="s">
        <v>801</v>
      </c>
      <c r="D12" s="9" t="s">
        <v>568</v>
      </c>
    </row>
    <row r="13" customFormat="false" ht="15" hidden="false" customHeight="true" outlineLevel="0" collapsed="false">
      <c r="A13" s="9" t="s">
        <v>797</v>
      </c>
      <c r="B13" s="9" t="s">
        <v>802</v>
      </c>
      <c r="C13" s="9" t="s">
        <v>803</v>
      </c>
      <c r="D13" s="9" t="s">
        <v>603</v>
      </c>
    </row>
    <row r="14" customFormat="false" ht="15" hidden="false" customHeight="true" outlineLevel="0" collapsed="false">
      <c r="A14" s="9" t="s">
        <v>797</v>
      </c>
      <c r="B14" s="9" t="s">
        <v>804</v>
      </c>
      <c r="C14" s="9" t="s">
        <v>795</v>
      </c>
      <c r="D14" s="9" t="s">
        <v>614</v>
      </c>
    </row>
    <row r="15" customFormat="false" ht="15" hidden="false" customHeight="true" outlineLevel="0" collapsed="false">
      <c r="A15" s="9" t="s">
        <v>797</v>
      </c>
      <c r="B15" s="9" t="s">
        <v>780</v>
      </c>
      <c r="C15" s="9" t="s">
        <v>805</v>
      </c>
      <c r="D15" s="9" t="s">
        <v>806</v>
      </c>
    </row>
  </sheetData>
  <autoFilter ref="A1:D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60"/>
    <col collapsed="false" customWidth="true" hidden="false" outlineLevel="0" max="3" min="3" style="1" width="16"/>
    <col collapsed="false" customWidth="true" hidden="false" outlineLevel="0" max="4" min="4" style="1" width="32"/>
    <col collapsed="false" customWidth="true" hidden="false" outlineLevel="0" max="5" min="5" style="1" width="28"/>
  </cols>
  <sheetData>
    <row r="1" customFormat="false" ht="30" hidden="false" customHeight="true" outlineLevel="0" collapsed="false">
      <c r="A1" s="8" t="s">
        <v>223</v>
      </c>
      <c r="B1" s="8" t="s">
        <v>807</v>
      </c>
      <c r="C1" s="8" t="s">
        <v>780</v>
      </c>
      <c r="D1" s="8" t="s">
        <v>808</v>
      </c>
      <c r="E1" s="8" t="s">
        <v>809</v>
      </c>
    </row>
    <row r="2" customFormat="false" ht="15" hidden="false" customHeight="true" outlineLevel="0" collapsed="false">
      <c r="A2" s="9" t="s">
        <v>810</v>
      </c>
      <c r="B2" s="9" t="s">
        <v>811</v>
      </c>
      <c r="C2" s="9" t="s">
        <v>812</v>
      </c>
      <c r="D2" s="9" t="s">
        <v>813</v>
      </c>
      <c r="E2" s="9" t="s">
        <v>82</v>
      </c>
    </row>
    <row r="3" customFormat="false" ht="23.25" hidden="false" customHeight="true" outlineLevel="0" collapsed="false">
      <c r="A3" s="9" t="s">
        <v>687</v>
      </c>
      <c r="B3" s="9" t="s">
        <v>814</v>
      </c>
      <c r="C3" s="9" t="s">
        <v>815</v>
      </c>
      <c r="D3" s="9" t="s">
        <v>816</v>
      </c>
      <c r="E3" s="9" t="s">
        <v>817</v>
      </c>
    </row>
    <row r="4" customFormat="false" ht="23.25" hidden="false" customHeight="true" outlineLevel="0" collapsed="false">
      <c r="A4" s="9" t="s">
        <v>253</v>
      </c>
      <c r="B4" s="9" t="s">
        <v>818</v>
      </c>
      <c r="C4" s="9" t="s">
        <v>815</v>
      </c>
      <c r="D4" s="9" t="s">
        <v>819</v>
      </c>
      <c r="E4" s="9" t="s">
        <v>820</v>
      </c>
    </row>
    <row r="5" customFormat="false" ht="15" hidden="false" customHeight="true" outlineLevel="0" collapsed="false">
      <c r="A5" s="9" t="s">
        <v>821</v>
      </c>
      <c r="B5" s="9" t="s">
        <v>822</v>
      </c>
      <c r="C5" s="9" t="s">
        <v>815</v>
      </c>
      <c r="D5" s="9" t="s">
        <v>823</v>
      </c>
      <c r="E5" s="9" t="s">
        <v>824</v>
      </c>
    </row>
    <row r="6" customFormat="false" ht="15" hidden="false" customHeight="true" outlineLevel="0" collapsed="false">
      <c r="A6" s="9" t="s">
        <v>825</v>
      </c>
      <c r="B6" s="9" t="s">
        <v>826</v>
      </c>
      <c r="C6" s="9" t="s">
        <v>827</v>
      </c>
      <c r="D6" s="9" t="s">
        <v>813</v>
      </c>
      <c r="E6" s="9" t="s">
        <v>82</v>
      </c>
    </row>
    <row r="7" customFormat="false" ht="15" hidden="false" customHeight="true" outlineLevel="0" collapsed="false">
      <c r="A7" s="9" t="s">
        <v>828</v>
      </c>
      <c r="B7" s="9" t="s">
        <v>829</v>
      </c>
      <c r="C7" s="9" t="s">
        <v>830</v>
      </c>
      <c r="D7" s="9" t="s">
        <v>813</v>
      </c>
      <c r="E7" s="9" t="s">
        <v>82</v>
      </c>
    </row>
    <row r="8" customFormat="false" ht="15" hidden="false" customHeight="true" outlineLevel="0" collapsed="false">
      <c r="A8" s="9" t="s">
        <v>831</v>
      </c>
      <c r="B8" s="9" t="s">
        <v>832</v>
      </c>
      <c r="C8" s="9" t="s">
        <v>833</v>
      </c>
      <c r="D8" s="9" t="s">
        <v>834</v>
      </c>
      <c r="E8" s="9" t="s">
        <v>82</v>
      </c>
    </row>
    <row r="9" customFormat="false" ht="15" hidden="false" customHeight="true" outlineLevel="0" collapsed="false">
      <c r="A9" s="9" t="s">
        <v>753</v>
      </c>
      <c r="B9" s="9" t="s">
        <v>835</v>
      </c>
      <c r="C9" s="9" t="s">
        <v>815</v>
      </c>
      <c r="D9" s="9" t="s">
        <v>836</v>
      </c>
      <c r="E9" s="9" t="s">
        <v>837</v>
      </c>
    </row>
    <row r="10" customFormat="false" ht="15" hidden="false" customHeight="true" outlineLevel="0" collapsed="false">
      <c r="A10" s="9" t="s">
        <v>838</v>
      </c>
      <c r="B10" s="9" t="s">
        <v>839</v>
      </c>
      <c r="C10" s="9" t="s">
        <v>815</v>
      </c>
      <c r="D10" s="9" t="s">
        <v>836</v>
      </c>
      <c r="E10" s="9" t="s">
        <v>840</v>
      </c>
    </row>
    <row r="11" customFormat="false" ht="15" hidden="false" customHeight="true" outlineLevel="0" collapsed="false">
      <c r="A11" s="9" t="s">
        <v>275</v>
      </c>
      <c r="B11" s="9" t="s">
        <v>841</v>
      </c>
      <c r="C11" s="9" t="s">
        <v>815</v>
      </c>
      <c r="D11" s="9" t="s">
        <v>842</v>
      </c>
      <c r="E11" s="9" t="s">
        <v>843</v>
      </c>
    </row>
    <row r="12" customFormat="false" ht="15" hidden="false" customHeight="true" outlineLevel="0" collapsed="false">
      <c r="A12" s="9" t="s">
        <v>844</v>
      </c>
      <c r="B12" s="9" t="s">
        <v>845</v>
      </c>
      <c r="C12" s="9" t="s">
        <v>827</v>
      </c>
      <c r="D12" s="9" t="s">
        <v>813</v>
      </c>
      <c r="E12" s="9" t="s">
        <v>82</v>
      </c>
    </row>
    <row r="13" customFormat="false" ht="15" hidden="false" customHeight="true" outlineLevel="0" collapsed="false">
      <c r="A13" s="9" t="s">
        <v>846</v>
      </c>
      <c r="B13" s="9" t="s">
        <v>847</v>
      </c>
      <c r="C13" s="9" t="s">
        <v>815</v>
      </c>
      <c r="D13" s="9" t="s">
        <v>813</v>
      </c>
      <c r="E13" s="9" t="s">
        <v>82</v>
      </c>
    </row>
    <row r="14" customFormat="false" ht="15" hidden="false" customHeight="true" outlineLevel="0" collapsed="false">
      <c r="A14" s="9" t="s">
        <v>848</v>
      </c>
      <c r="B14" s="9" t="s">
        <v>849</v>
      </c>
      <c r="C14" s="9" t="s">
        <v>833</v>
      </c>
      <c r="D14" s="9" t="s">
        <v>813</v>
      </c>
      <c r="E14" s="9" t="s">
        <v>82</v>
      </c>
    </row>
    <row r="15" customFormat="false" ht="15" hidden="false" customHeight="true" outlineLevel="0" collapsed="false">
      <c r="A15" s="9" t="s">
        <v>364</v>
      </c>
      <c r="B15" s="9" t="s">
        <v>850</v>
      </c>
      <c r="C15" s="9" t="s">
        <v>851</v>
      </c>
      <c r="D15" s="9" t="s">
        <v>813</v>
      </c>
      <c r="E15" s="9" t="s">
        <v>82</v>
      </c>
    </row>
    <row r="16" customFormat="false" ht="15" hidden="false" customHeight="true" outlineLevel="0" collapsed="false">
      <c r="A16" s="9" t="s">
        <v>852</v>
      </c>
      <c r="B16" s="9" t="s">
        <v>853</v>
      </c>
      <c r="C16" s="9" t="s">
        <v>854</v>
      </c>
      <c r="D16" s="9" t="s">
        <v>813</v>
      </c>
      <c r="E16" s="9" t="s">
        <v>82</v>
      </c>
    </row>
    <row r="17" customFormat="false" ht="15" hidden="false" customHeight="true" outlineLevel="0" collapsed="false">
      <c r="A17" s="9" t="s">
        <v>721</v>
      </c>
      <c r="B17" s="9" t="s">
        <v>855</v>
      </c>
      <c r="C17" s="9" t="s">
        <v>856</v>
      </c>
      <c r="D17" s="9" t="s">
        <v>813</v>
      </c>
      <c r="E17" s="9" t="s">
        <v>82</v>
      </c>
    </row>
    <row r="18" customFormat="false" ht="15" hidden="false" customHeight="true" outlineLevel="0" collapsed="false">
      <c r="A18" s="9" t="s">
        <v>857</v>
      </c>
      <c r="B18" s="9" t="s">
        <v>858</v>
      </c>
      <c r="C18" s="9" t="s">
        <v>812</v>
      </c>
      <c r="D18" s="9" t="s">
        <v>813</v>
      </c>
      <c r="E18" s="9" t="s">
        <v>82</v>
      </c>
    </row>
    <row r="19" customFormat="false" ht="15" hidden="false" customHeight="true" outlineLevel="0" collapsed="false">
      <c r="A19" s="9" t="s">
        <v>653</v>
      </c>
      <c r="B19" s="9" t="s">
        <v>859</v>
      </c>
      <c r="C19" s="9" t="s">
        <v>860</v>
      </c>
      <c r="D19" s="9" t="s">
        <v>861</v>
      </c>
      <c r="E19" s="9" t="s">
        <v>817</v>
      </c>
    </row>
    <row r="20" customFormat="false" ht="15" hidden="false" customHeight="true" outlineLevel="0" collapsed="false">
      <c r="A20" s="9" t="s">
        <v>264</v>
      </c>
      <c r="B20" s="9" t="s">
        <v>862</v>
      </c>
      <c r="C20" s="9" t="s">
        <v>860</v>
      </c>
      <c r="D20" s="9" t="s">
        <v>863</v>
      </c>
      <c r="E20" s="9" t="s">
        <v>82</v>
      </c>
    </row>
    <row r="21" customFormat="false" ht="15" hidden="false" customHeight="true" outlineLevel="0" collapsed="false">
      <c r="A21" s="9" t="s">
        <v>670</v>
      </c>
      <c r="B21" s="9" t="s">
        <v>864</v>
      </c>
      <c r="C21" s="9" t="s">
        <v>860</v>
      </c>
      <c r="D21" s="9" t="s">
        <v>813</v>
      </c>
      <c r="E21" s="9" t="s">
        <v>82</v>
      </c>
    </row>
    <row r="22" customFormat="false" ht="15" hidden="false" customHeight="true" outlineLevel="0" collapsed="false">
      <c r="A22" s="9" t="s">
        <v>865</v>
      </c>
      <c r="B22" s="9" t="s">
        <v>866</v>
      </c>
      <c r="C22" s="9" t="s">
        <v>867</v>
      </c>
      <c r="D22" s="9" t="s">
        <v>813</v>
      </c>
      <c r="E22" s="9" t="s">
        <v>82</v>
      </c>
    </row>
    <row r="23" customFormat="false" ht="15" hidden="false" customHeight="true" outlineLevel="0" collapsed="false">
      <c r="A23" s="9" t="s">
        <v>248</v>
      </c>
      <c r="B23" s="9" t="s">
        <v>868</v>
      </c>
      <c r="C23" s="9" t="s">
        <v>869</v>
      </c>
      <c r="D23" s="9" t="s">
        <v>834</v>
      </c>
      <c r="E23" s="9" t="s">
        <v>82</v>
      </c>
    </row>
    <row r="24" customFormat="false" ht="15" hidden="false" customHeight="true" outlineLevel="0" collapsed="false">
      <c r="A24" s="9" t="s">
        <v>870</v>
      </c>
      <c r="B24" s="9" t="s">
        <v>871</v>
      </c>
      <c r="C24" s="9" t="s">
        <v>815</v>
      </c>
      <c r="D24" s="9" t="s">
        <v>872</v>
      </c>
      <c r="E24" s="9" t="s">
        <v>873</v>
      </c>
    </row>
    <row r="25" customFormat="false" ht="15" hidden="false" customHeight="true" outlineLevel="0" collapsed="false">
      <c r="A25" s="9" t="s">
        <v>874</v>
      </c>
      <c r="B25" s="9" t="s">
        <v>875</v>
      </c>
      <c r="C25" s="9" t="s">
        <v>876</v>
      </c>
      <c r="D25" s="9" t="s">
        <v>813</v>
      </c>
      <c r="E25" s="9" t="s">
        <v>817</v>
      </c>
    </row>
    <row r="26" customFormat="false" ht="15" hidden="false" customHeight="true" outlineLevel="0" collapsed="false">
      <c r="A26" s="9" t="s">
        <v>736</v>
      </c>
      <c r="B26" s="9" t="s">
        <v>877</v>
      </c>
      <c r="C26" s="9" t="s">
        <v>876</v>
      </c>
      <c r="D26" s="9" t="s">
        <v>813</v>
      </c>
      <c r="E26" s="9" t="s">
        <v>82</v>
      </c>
    </row>
    <row r="27" customFormat="false" ht="15" hidden="false" customHeight="true" outlineLevel="0" collapsed="false">
      <c r="A27" s="9" t="s">
        <v>878</v>
      </c>
      <c r="B27" s="9" t="s">
        <v>879</v>
      </c>
      <c r="C27" s="9" t="s">
        <v>860</v>
      </c>
      <c r="D27" s="9" t="s">
        <v>861</v>
      </c>
      <c r="E27" s="9" t="s">
        <v>817</v>
      </c>
    </row>
    <row r="28" customFormat="false" ht="15" hidden="false" customHeight="true" outlineLevel="0" collapsed="false">
      <c r="A28" s="9" t="s">
        <v>880</v>
      </c>
      <c r="B28" s="9" t="s">
        <v>881</v>
      </c>
      <c r="C28" s="9" t="s">
        <v>815</v>
      </c>
      <c r="D28" s="9" t="s">
        <v>813</v>
      </c>
      <c r="E28" s="9" t="s">
        <v>82</v>
      </c>
    </row>
  </sheetData>
  <autoFilter ref="A1:E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70"/>
    <col collapsed="false" customWidth="true" hidden="false" outlineLevel="0" max="3" min="3" style="1" width="20"/>
    <col collapsed="false" customWidth="true" hidden="false" outlineLevel="0" max="4" min="4" style="1" width="32"/>
  </cols>
  <sheetData>
    <row r="1" customFormat="false" ht="30" hidden="false" customHeight="true" outlineLevel="0" collapsed="false">
      <c r="A1" s="8" t="s">
        <v>538</v>
      </c>
      <c r="B1" s="8" t="s">
        <v>882</v>
      </c>
      <c r="C1" s="8" t="s">
        <v>883</v>
      </c>
      <c r="D1" s="8" t="s">
        <v>884</v>
      </c>
    </row>
    <row r="2" customFormat="false" ht="23.25" hidden="false" customHeight="true" outlineLevel="0" collapsed="false">
      <c r="A2" s="9" t="s">
        <v>885</v>
      </c>
      <c r="B2" s="9" t="s">
        <v>886</v>
      </c>
      <c r="C2" s="9" t="s">
        <v>876</v>
      </c>
      <c r="D2" s="9" t="s">
        <v>887</v>
      </c>
    </row>
    <row r="3" customFormat="false" ht="15" hidden="false" customHeight="true" outlineLevel="0" collapsed="false">
      <c r="A3" s="9" t="s">
        <v>888</v>
      </c>
      <c r="B3" s="9" t="s">
        <v>889</v>
      </c>
      <c r="C3" s="9" t="s">
        <v>827</v>
      </c>
      <c r="D3" s="9" t="s">
        <v>890</v>
      </c>
    </row>
    <row r="4" customFormat="false" ht="23.25" hidden="false" customHeight="true" outlineLevel="0" collapsed="false">
      <c r="A4" s="9" t="s">
        <v>891</v>
      </c>
      <c r="B4" s="9" t="s">
        <v>892</v>
      </c>
      <c r="C4" s="9" t="s">
        <v>812</v>
      </c>
      <c r="D4" s="9" t="s">
        <v>893</v>
      </c>
    </row>
    <row r="5" customFormat="false" ht="23.25" hidden="false" customHeight="true" outlineLevel="0" collapsed="false">
      <c r="A5" s="9" t="s">
        <v>894</v>
      </c>
      <c r="B5" s="9" t="s">
        <v>895</v>
      </c>
      <c r="C5" s="9" t="s">
        <v>896</v>
      </c>
      <c r="D5" s="9" t="s">
        <v>897</v>
      </c>
    </row>
    <row r="6" customFormat="false" ht="23.25" hidden="false" customHeight="true" outlineLevel="0" collapsed="false">
      <c r="A6" s="9" t="s">
        <v>898</v>
      </c>
      <c r="B6" s="9" t="s">
        <v>899</v>
      </c>
      <c r="C6" s="9" t="s">
        <v>900</v>
      </c>
      <c r="D6" s="9" t="s">
        <v>901</v>
      </c>
    </row>
    <row r="7" customFormat="false" ht="23.25" hidden="false" customHeight="true" outlineLevel="0" collapsed="false">
      <c r="A7" s="9" t="s">
        <v>902</v>
      </c>
      <c r="B7" s="9" t="s">
        <v>903</v>
      </c>
      <c r="C7" s="9" t="s">
        <v>860</v>
      </c>
      <c r="D7" s="9" t="s">
        <v>904</v>
      </c>
    </row>
    <row r="8" customFormat="false" ht="23.25" hidden="false" customHeight="true" outlineLevel="0" collapsed="false">
      <c r="A8" s="9" t="s">
        <v>905</v>
      </c>
      <c r="B8" s="9" t="s">
        <v>906</v>
      </c>
      <c r="C8" s="9" t="s">
        <v>907</v>
      </c>
      <c r="D8" s="9" t="s">
        <v>908</v>
      </c>
    </row>
    <row r="9" customFormat="false" ht="23.25" hidden="false" customHeight="true" outlineLevel="0" collapsed="false">
      <c r="A9" s="9" t="s">
        <v>909</v>
      </c>
      <c r="B9" s="9" t="s">
        <v>910</v>
      </c>
      <c r="C9" s="9" t="s">
        <v>82</v>
      </c>
      <c r="D9" s="9" t="s">
        <v>275</v>
      </c>
    </row>
    <row r="10" customFormat="false" ht="23.25" hidden="false" customHeight="true" outlineLevel="0" collapsed="false">
      <c r="A10" s="9" t="s">
        <v>911</v>
      </c>
      <c r="B10" s="9" t="s">
        <v>912</v>
      </c>
      <c r="C10" s="9" t="s">
        <v>82</v>
      </c>
      <c r="D10" s="9" t="s">
        <v>913</v>
      </c>
    </row>
    <row r="11" customFormat="false" ht="23.25" hidden="false" customHeight="true" outlineLevel="0" collapsed="false">
      <c r="A11" s="9" t="s">
        <v>914</v>
      </c>
      <c r="B11" s="9" t="s">
        <v>915</v>
      </c>
      <c r="C11" s="9" t="s">
        <v>82</v>
      </c>
      <c r="D11" s="9" t="s">
        <v>913</v>
      </c>
    </row>
  </sheetData>
  <autoFilter ref="A1:D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90"/>
    <col collapsed="false" customWidth="true" hidden="false" outlineLevel="0" max="3" min="3" style="1" width="14"/>
  </cols>
  <sheetData>
    <row r="1" customFormat="false" ht="30" hidden="false" customHeight="true" outlineLevel="0" collapsed="false">
      <c r="A1" s="8" t="s">
        <v>538</v>
      </c>
      <c r="B1" s="8" t="s">
        <v>778</v>
      </c>
      <c r="C1" s="8" t="s">
        <v>916</v>
      </c>
    </row>
    <row r="2" customFormat="false" ht="15" hidden="false" customHeight="true" outlineLevel="0" collapsed="false">
      <c r="A2" s="9" t="s">
        <v>917</v>
      </c>
      <c r="B2" s="9" t="s">
        <v>918</v>
      </c>
      <c r="C2" s="9" t="s">
        <v>45</v>
      </c>
    </row>
    <row r="3" customFormat="false" ht="23.25" hidden="false" customHeight="true" outlineLevel="0" collapsed="false">
      <c r="A3" s="9" t="s">
        <v>919</v>
      </c>
      <c r="B3" s="9" t="s">
        <v>920</v>
      </c>
      <c r="C3" s="9" t="s">
        <v>202</v>
      </c>
    </row>
    <row r="4" customFormat="false" ht="23.25" hidden="false" customHeight="true" outlineLevel="0" collapsed="false">
      <c r="A4" s="9" t="s">
        <v>921</v>
      </c>
      <c r="B4" s="9" t="s">
        <v>922</v>
      </c>
      <c r="C4" s="9" t="s">
        <v>923</v>
      </c>
    </row>
  </sheetData>
  <autoFilter ref="A1:C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45"/>
    <col collapsed="false" customWidth="true" hidden="false" outlineLevel="0" max="3" min="3" style="1" width="50"/>
    <col collapsed="false" customWidth="true" hidden="false" outlineLevel="0" max="4" min="4" style="1" width="26"/>
    <col collapsed="false" customWidth="true" hidden="false" outlineLevel="0" max="5" min="5" style="1" width="18"/>
  </cols>
  <sheetData>
    <row r="1" customFormat="false" ht="30" hidden="false" customHeight="true" outlineLevel="0" collapsed="false">
      <c r="A1" s="8" t="s">
        <v>223</v>
      </c>
      <c r="B1" s="8" t="s">
        <v>924</v>
      </c>
      <c r="C1" s="8" t="s">
        <v>925</v>
      </c>
      <c r="D1" s="8" t="s">
        <v>926</v>
      </c>
      <c r="E1" s="8" t="s">
        <v>228</v>
      </c>
    </row>
    <row r="2" customFormat="false" ht="15" hidden="false" customHeight="true" outlineLevel="0" collapsed="false">
      <c r="A2" s="9" t="s">
        <v>927</v>
      </c>
      <c r="B2" s="9" t="s">
        <v>928</v>
      </c>
      <c r="C2" s="9" t="s">
        <v>929</v>
      </c>
      <c r="D2" s="9" t="s">
        <v>930</v>
      </c>
      <c r="E2" s="9" t="s">
        <v>931</v>
      </c>
    </row>
    <row r="3" customFormat="false" ht="15" hidden="false" customHeight="true" outlineLevel="0" collapsed="false">
      <c r="A3" s="9" t="s">
        <v>932</v>
      </c>
      <c r="B3" s="9" t="s">
        <v>933</v>
      </c>
      <c r="C3" s="9" t="s">
        <v>934</v>
      </c>
      <c r="D3" s="9" t="s">
        <v>519</v>
      </c>
      <c r="E3" s="9" t="s">
        <v>931</v>
      </c>
    </row>
    <row r="4" customFormat="false" ht="23.25" hidden="false" customHeight="true" outlineLevel="0" collapsed="false">
      <c r="A4" s="9" t="s">
        <v>935</v>
      </c>
      <c r="B4" s="9" t="s">
        <v>936</v>
      </c>
      <c r="C4" s="9" t="s">
        <v>937</v>
      </c>
      <c r="D4" s="9" t="s">
        <v>527</v>
      </c>
      <c r="E4" s="9" t="s">
        <v>931</v>
      </c>
    </row>
    <row r="5" customFormat="false" ht="15" hidden="false" customHeight="true" outlineLevel="0" collapsed="false">
      <c r="A5" s="9" t="s">
        <v>938</v>
      </c>
      <c r="B5" s="9" t="s">
        <v>939</v>
      </c>
      <c r="C5" s="9" t="s">
        <v>940</v>
      </c>
      <c r="D5" s="9" t="s">
        <v>537</v>
      </c>
      <c r="E5" s="9" t="s">
        <v>931</v>
      </c>
    </row>
    <row r="6" customFormat="false" ht="15" hidden="false" customHeight="true" outlineLevel="0" collapsed="false">
      <c r="A6" s="9" t="s">
        <v>941</v>
      </c>
      <c r="B6" s="9" t="s">
        <v>942</v>
      </c>
      <c r="C6" s="9" t="s">
        <v>943</v>
      </c>
      <c r="D6" s="9" t="s">
        <v>362</v>
      </c>
      <c r="E6" s="9" t="s">
        <v>931</v>
      </c>
    </row>
    <row r="7" customFormat="false" ht="15" hidden="false" customHeight="true" outlineLevel="0" collapsed="false">
      <c r="A7" s="9" t="s">
        <v>944</v>
      </c>
      <c r="B7" s="9" t="s">
        <v>945</v>
      </c>
      <c r="C7" s="9" t="s">
        <v>946</v>
      </c>
      <c r="D7" s="9" t="s">
        <v>437</v>
      </c>
      <c r="E7" s="9" t="s">
        <v>931</v>
      </c>
    </row>
    <row r="8" customFormat="false" ht="15" hidden="false" customHeight="true" outlineLevel="0" collapsed="false">
      <c r="A8" s="9" t="s">
        <v>947</v>
      </c>
      <c r="B8" s="9" t="s">
        <v>948</v>
      </c>
      <c r="C8" s="9" t="s">
        <v>949</v>
      </c>
      <c r="D8" s="9" t="s">
        <v>950</v>
      </c>
      <c r="E8" s="9" t="s">
        <v>951</v>
      </c>
    </row>
    <row r="9" customFormat="false" ht="23.25" hidden="false" customHeight="true" outlineLevel="0" collapsed="false">
      <c r="A9" s="9" t="s">
        <v>952</v>
      </c>
      <c r="B9" s="9" t="s">
        <v>953</v>
      </c>
      <c r="C9" s="9" t="s">
        <v>82</v>
      </c>
      <c r="D9" s="9" t="s">
        <v>954</v>
      </c>
      <c r="E9" s="9" t="s">
        <v>955</v>
      </c>
    </row>
    <row r="10" customFormat="false" ht="23.25" hidden="false" customHeight="true" outlineLevel="0" collapsed="false">
      <c r="A10" s="9" t="s">
        <v>956</v>
      </c>
      <c r="B10" s="9" t="s">
        <v>957</v>
      </c>
      <c r="C10" s="9" t="s">
        <v>82</v>
      </c>
      <c r="D10" s="9" t="s">
        <v>369</v>
      </c>
      <c r="E10" s="9" t="s">
        <v>958</v>
      </c>
    </row>
    <row r="11" customFormat="false" ht="15" hidden="false" customHeight="true" outlineLevel="0" collapsed="false">
      <c r="A11" s="9" t="s">
        <v>959</v>
      </c>
      <c r="B11" s="9" t="s">
        <v>960</v>
      </c>
      <c r="C11" s="9" t="s">
        <v>82</v>
      </c>
      <c r="D11" s="9" t="s">
        <v>961</v>
      </c>
      <c r="E11" s="9" t="s">
        <v>958</v>
      </c>
    </row>
    <row r="12" customFormat="false" ht="23.25" hidden="false" customHeight="true" outlineLevel="0" collapsed="false">
      <c r="A12" s="9" t="s">
        <v>962</v>
      </c>
      <c r="B12" s="9" t="s">
        <v>963</v>
      </c>
      <c r="C12" s="9" t="s">
        <v>82</v>
      </c>
      <c r="D12" s="9" t="s">
        <v>964</v>
      </c>
      <c r="E12" s="9" t="s">
        <v>958</v>
      </c>
    </row>
    <row r="13" customFormat="false" ht="15" hidden="false" customHeight="true" outlineLevel="0" collapsed="false">
      <c r="A13" s="9" t="s">
        <v>965</v>
      </c>
      <c r="B13" s="9" t="s">
        <v>966</v>
      </c>
      <c r="C13" s="9" t="s">
        <v>967</v>
      </c>
      <c r="D13" s="9" t="s">
        <v>968</v>
      </c>
      <c r="E13" s="9" t="s">
        <v>958</v>
      </c>
    </row>
    <row r="14" customFormat="false" ht="15" hidden="false" customHeight="true" outlineLevel="0" collapsed="false">
      <c r="A14" s="9" t="s">
        <v>969</v>
      </c>
      <c r="B14" s="9" t="s">
        <v>970</v>
      </c>
      <c r="C14" s="9" t="s">
        <v>971</v>
      </c>
      <c r="D14" s="9" t="s">
        <v>961</v>
      </c>
      <c r="E14" s="9" t="s">
        <v>958</v>
      </c>
    </row>
    <row r="15" customFormat="false" ht="23.25" hidden="false" customHeight="true" outlineLevel="0" collapsed="false">
      <c r="A15" s="9" t="s">
        <v>972</v>
      </c>
      <c r="B15" s="9" t="s">
        <v>973</v>
      </c>
      <c r="C15" s="9" t="s">
        <v>82</v>
      </c>
      <c r="D15" s="9" t="s">
        <v>369</v>
      </c>
      <c r="E15" s="9" t="s">
        <v>958</v>
      </c>
    </row>
  </sheetData>
  <autoFilter ref="A1:E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90"/>
    <col collapsed="false" customWidth="true" hidden="false" outlineLevel="0" max="3" min="3" style="1" width="50"/>
  </cols>
  <sheetData>
    <row r="1" customFormat="false" ht="30" hidden="false" customHeight="true" outlineLevel="0" collapsed="false">
      <c r="A1" s="8" t="s">
        <v>223</v>
      </c>
      <c r="B1" s="8" t="s">
        <v>974</v>
      </c>
      <c r="C1" s="8" t="s">
        <v>975</v>
      </c>
    </row>
    <row r="2" customFormat="false" ht="23.25" hidden="false" customHeight="true" outlineLevel="0" collapsed="false">
      <c r="A2" s="9" t="s">
        <v>56</v>
      </c>
      <c r="B2" s="9" t="s">
        <v>976</v>
      </c>
      <c r="C2" s="9" t="s">
        <v>977</v>
      </c>
    </row>
    <row r="3" customFormat="false" ht="23.25" hidden="false" customHeight="true" outlineLevel="0" collapsed="false">
      <c r="A3" s="9" t="s">
        <v>978</v>
      </c>
      <c r="B3" s="9" t="s">
        <v>979</v>
      </c>
      <c r="C3" s="9" t="s">
        <v>980</v>
      </c>
    </row>
    <row r="4" customFormat="false" ht="23.25" hidden="false" customHeight="true" outlineLevel="0" collapsed="false">
      <c r="A4" s="9" t="s">
        <v>981</v>
      </c>
      <c r="B4" s="9" t="s">
        <v>982</v>
      </c>
      <c r="C4" s="9" t="s">
        <v>983</v>
      </c>
    </row>
    <row r="5" customFormat="false" ht="23.25" hidden="false" customHeight="true" outlineLevel="0" collapsed="false">
      <c r="A5" s="9" t="s">
        <v>984</v>
      </c>
      <c r="B5" s="9" t="s">
        <v>985</v>
      </c>
      <c r="C5" s="9" t="s">
        <v>986</v>
      </c>
    </row>
    <row r="6" customFormat="false" ht="15" hidden="false" customHeight="true" outlineLevel="0" collapsed="false">
      <c r="A6" s="9" t="s">
        <v>987</v>
      </c>
      <c r="B6" s="9" t="s">
        <v>988</v>
      </c>
      <c r="C6" s="9" t="s">
        <v>989</v>
      </c>
    </row>
    <row r="7" customFormat="false" ht="23.25" hidden="false" customHeight="true" outlineLevel="0" collapsed="false">
      <c r="A7" s="9" t="s">
        <v>990</v>
      </c>
      <c r="B7" s="9" t="s">
        <v>991</v>
      </c>
      <c r="C7" s="9" t="s">
        <v>992</v>
      </c>
    </row>
    <row r="8" customFormat="false" ht="15" hidden="false" customHeight="true" outlineLevel="0" collapsed="false">
      <c r="A8" s="9" t="s">
        <v>954</v>
      </c>
      <c r="B8" s="9" t="s">
        <v>993</v>
      </c>
      <c r="C8" s="9" t="s">
        <v>82</v>
      </c>
    </row>
  </sheetData>
  <autoFilter ref="A1:C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2026-09-22T04:49:42Z</dcterms:created>
  <dc:creator>openpyxl</dc:creator>
  <dc:description/>
  <dc:language>en-US</dc:language>
  <cp:lastModifiedBy/>
  <dcterms:modified xsi:type="dcterms:W3CDTF">2026-10-05T15:19:55Z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