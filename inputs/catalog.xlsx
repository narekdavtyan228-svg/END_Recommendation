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Легенда" sheetId="1" state="visible" r:id="rId1"/>
    <sheet xmlns:r="http://schemas.openxmlformats.org/officeDocument/2006/relationships" name="Сводка" sheetId="2" state="visible" r:id="rId2"/>
    <sheet xmlns:r="http://schemas.openxmlformats.org/officeDocument/2006/relationships" name="Синтаксис" sheetId="3" state="visible" r:id="rId3"/>
    <sheet xmlns:r="http://schemas.openxmlformats.org/officeDocument/2006/relationships" name="Неприменимость" sheetId="4" state="visible" r:id="rId4"/>
    <sheet xmlns:r="http://schemas.openxmlformats.org/officeDocument/2006/relationships" name="Пункты по категориям" sheetId="5" state="visible" r:id="rId5"/>
    <sheet xmlns:r="http://schemas.openxmlformats.org/officeDocument/2006/relationships" name="Правила категорий" sheetId="6" state="visible" r:id="rId6"/>
    <sheet xmlns:r="http://schemas.openxmlformats.org/officeDocument/2006/relationships" name="Оценка рисков — правила" sheetId="7" state="visible" r:id="rId7"/>
    <sheet xmlns:r="http://schemas.openxmlformats.org/officeDocument/2006/relationships" name="Опасности по категориям" sheetId="8" state="visible" r:id="rId8"/>
    <sheet xmlns:r="http://schemas.openxmlformats.org/officeDocument/2006/relationships" name="Разметка рисков в БД" sheetId="9" state="visible" r:id="rId9"/>
    <sheet xmlns:r="http://schemas.openxmlformats.org/officeDocument/2006/relationships" name="Факторы" sheetId="10" state="visible" r:id="rId10"/>
    <sheet xmlns:r="http://schemas.openxmlformats.org/officeDocument/2006/relationships" name="Словарь маркеров" sheetId="11" state="visible" r:id="rId11"/>
    <sheet xmlns:r="http://schemas.openxmlformats.org/officeDocument/2006/relationships" name="Стоп-словарь" sheetId="12" state="visible" r:id="rId12"/>
    <sheet xmlns:r="http://schemas.openxmlformats.org/officeDocument/2006/relationships" name="Параметры" sheetId="13" state="visible" r:id="rId13"/>
    <sheet xmlns:r="http://schemas.openxmlformats.org/officeDocument/2006/relationships" name="Источники" sheetId="14" state="visible" r:id="rId14"/>
  </sheets>
  <definedNames>
    <definedName name="_xlnm._FilterDatabase" localSheetId="2" hidden="1">'Синтаксис'!$A$1:$H$18</definedName>
    <definedName name="_xlnm._FilterDatabase" localSheetId="3" hidden="1">'Неприменимость'!$A$1:$H$15</definedName>
    <definedName name="_xlnm._FilterDatabase" localSheetId="4" hidden="1">'Пункты по категориям'!$A$1:$I$71</definedName>
    <definedName name="_xlnm._FilterDatabase" localSheetId="5" hidden="1">'Правила категорий'!$A$1:$F$42</definedName>
    <definedName name="_xlnm._FilterDatabase" localSheetId="6" hidden="1">'Оценка рисков — правила'!$A$1:$G$26</definedName>
    <definedName name="_xlnm._FilterDatabase" localSheetId="7" hidden="1">'Опасности по категориям'!$A$1:$J$27</definedName>
    <definedName name="_xlnm._FilterDatabase" localSheetId="8" hidden="1">'Разметка рисков в БД'!$A$1:$D$15</definedName>
    <definedName name="_xlnm._FilterDatabase" localSheetId="9" hidden="1">'Факторы'!$A$1:$E$28</definedName>
    <definedName name="_xlnm._FilterDatabase" localSheetId="10" hidden="1">'Словарь маркеров'!$A$1:$D$11</definedName>
    <definedName name="_xlnm._FilterDatabase" localSheetId="11" hidden="1">'Стоп-словарь'!$A$1:$C$4</definedName>
    <definedName name="_xlnm._FilterDatabase" localSheetId="12" hidden="1">'Параметры'!$A$1:$E$15</definedName>
    <definedName name="_xlnm._FilterDatabase" localSheetId="13" hidden="1">'Источники'!$A$1:$C$8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8CBAD"/>
      </patternFill>
    </fill>
    <fill>
      <patternFill patternType="solid">
        <fgColor rgb="FFDDEBF7"/>
        <bgColor rgb="FFEDEDED"/>
      </patternFill>
    </fill>
    <fill>
      <patternFill patternType="solid">
        <fgColor rgb="FFE4DFEC"/>
        <bgColor rgb="FFDDEBF7"/>
      </patternFill>
    </fill>
    <fill>
      <patternFill patternType="solid">
        <fgColor rgb="FFC6EFCE"/>
        <bgColor rgb="FFDDEBF7"/>
      </patternFill>
    </fill>
    <fill>
      <patternFill patternType="solid">
        <fgColor rgb="FFEDEDED"/>
        <bgColor rgb="FFDDEBF7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0" fontId="8" fillId="0" borderId="2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6" min="1" max="1"/>
    <col width="110" customWidth="1" style="16" min="2" max="2"/>
  </cols>
  <sheetData>
    <row r="1" ht="15.75" customHeight="1" s="17">
      <c r="A1" s="18" t="inlineStr">
        <is>
          <t>Каталог правил ИИ-проверки раздела 2 НД — АО «Озенмунайгаз»</t>
        </is>
      </c>
    </row>
    <row r="2" ht="15" customHeight="1" s="17">
      <c r="A2" s="19" t="inlineStr">
        <is>
          <t>Категории: Земляные работы, Грузоподъемные работы, Работа в замкнутом пространстве, Другие работы повышенной опасности, Огневые работы, Газоопасные работы, Работы на высоте</t>
        </is>
      </c>
    </row>
    <row r="3" ht="15" customHeight="1" s="17">
      <c r="A3" s="19" t="n"/>
    </row>
    <row r="4" ht="23.25" customHeight="1" s="17">
      <c r="A4" s="20" t="inlineStr">
        <is>
          <t>Порядок применения</t>
        </is>
      </c>
      <c r="B4" s="21" t="inlineStr">
        <is>
          <t>1) Синтаксис (S01–S17). 2) Неприменимость (N01–N14). 3) Матрица пунктов по категории. 4) Правила категорий. 5) Оценка рисков (RA01–RA23) по справочнику опасностей и мер. 6) LLM — только для того, что код не решил.</t>
        </is>
      </c>
    </row>
    <row r="5" ht="23.25" customHeight="1" s="17">
      <c r="A5" s="20" t="inlineStr">
        <is>
          <t>Листы</t>
        </is>
      </c>
      <c r="B5" s="21" t="inlineStr">
        <is>
          <t>«Синтаксис», «Неприменимость», «Пункты по категориям» (матрица 7 × 10), «Правила категорий», «Риски — обязательные», «Факторы», «Словарь маркеров», «Стоп-словарь», «Параметры», «Источники», «Сводка».</t>
        </is>
      </c>
    </row>
    <row r="6" ht="23.25" customHeight="1" s="17">
      <c r="A6" s="20" t="inlineStr">
        <is>
          <t>Статусы пунктов</t>
        </is>
      </c>
      <c r="B6" s="21" t="inlineStr">
        <is>
          <t>Ядро — обязателен всегда, прочерк недопустим (N06). Условное — обязателен при факторе = Да; при факторе = Нет — прочерк, а выбранная запись даёт N02; при неизвестном факторе — вопрос (N14).</t>
        </is>
      </c>
    </row>
    <row r="7" ht="23.25" customHeight="1" s="17">
      <c r="A7" s="20" t="inlineStr">
        <is>
          <t>Критичность</t>
        </is>
      </c>
      <c r="B7" s="21" t="inlineStr">
        <is>
          <t>Критично — блокирует отправку на согласование. Существенно — принять или отклонить с комментарием. Рекомендация — информационно. Вопрос — ответ сохраняется как значение фактора.</t>
        </is>
      </c>
    </row>
    <row r="8" ht="34.5" customHeight="1" s="17">
      <c r="A8" s="20" t="inlineStr">
        <is>
          <t>Связь со справочниками БД</t>
        </is>
      </c>
      <c r="B8" s="21" t="inlineStr">
        <is>
          <t>Правила ссылаются на пункт 5.x и ключевые элементы, а не на ID записей. Для каждой записи справочника ОМГ в БД нужно проставить: категорию, пункт, тип (Ядро/Условное/Опциональное/Шаблон), факторы и ключевые элементы — по образцу файла разметки для ГПР и высоты.</t>
        </is>
      </c>
    </row>
    <row r="9" ht="23.25" customHeight="1" s="17">
      <c r="A9" s="20" t="inlineStr">
        <is>
          <t>Допущение</t>
        </is>
      </c>
      <c r="B9" s="21" t="inlineStr">
        <is>
          <t>Форма раздела 5 (пп. 5.1–5.10 и их подсказки) одинакова для всех категорий РПО, как на экране ОМГ. Если у категории своя форма, матрицу нужно пересобрать.</t>
        </is>
      </c>
    </row>
    <row r="10" ht="23.25" customHeight="1" s="17">
      <c r="A10" s="20" t="inlineStr">
        <is>
          <t>Статус оснований</t>
        </is>
      </c>
      <c r="B10" s="21" t="inlineStr">
        <is>
          <t>«Сверено» — пункт прочитан в тексте НПА РК. «Сверить» / «наполнить» / «решение ОМГ» — требуется подтверждение HSE-эксперта до включения критичности.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6" min="1" max="1"/>
    <col width="10" customWidth="1" style="16" min="2" max="2"/>
    <col width="12" customWidth="1" style="16" min="3" max="3"/>
    <col width="18" customWidth="1" style="16" min="4" max="4"/>
    <col width="24" customWidth="1" style="16" min="5" max="5"/>
  </cols>
  <sheetData>
    <row r="1" ht="15" customHeight="1" s="17">
      <c r="A1" s="22" t="inlineStr">
        <is>
          <t>Категория</t>
        </is>
      </c>
      <c r="B1" s="22" t="inlineStr">
        <is>
          <t>Ядро</t>
        </is>
      </c>
      <c r="C1" s="22" t="inlineStr">
        <is>
          <t>Условные</t>
        </is>
      </c>
      <c r="D1" s="22" t="inlineStr">
        <is>
          <t>Правил категории</t>
        </is>
      </c>
      <c r="E1" s="22" t="inlineStr">
        <is>
          <t>Обязательных опасностей</t>
        </is>
      </c>
    </row>
    <row r="2" ht="15" customHeight="1" s="17">
      <c r="A2" s="23" t="inlineStr">
        <is>
          <t>Земляные работы</t>
        </is>
      </c>
      <c r="B2" s="23">
        <f>COUNTIFS('Пункты по категориям'!$B:$B,A2,'Пункты по категориям'!$E:$E,"Ядро")</f>
        <v/>
      </c>
      <c r="C2" s="23">
        <f>COUNTIFS('Пункты по категориям'!$B:$B,A2,'Пункты по категориям'!$E:$E,"Условное")</f>
        <v/>
      </c>
      <c r="D2" s="23">
        <f>COUNTIF('Правила категорий'!$B:$B,A2)</f>
        <v/>
      </c>
      <c r="E2" s="23">
        <f>COUNTIF('Опасности по категориям'!$A:$A,A2)</f>
        <v/>
      </c>
    </row>
    <row r="3" ht="15" customHeight="1" s="17">
      <c r="A3" s="23" t="inlineStr">
        <is>
          <t>Грузоподъемные работы</t>
        </is>
      </c>
      <c r="B3" s="23">
        <f>COUNTIFS('Пункты по категориям'!$B:$B,A3,'Пункты по категориям'!$E:$E,"Ядро")</f>
        <v/>
      </c>
      <c r="C3" s="23">
        <f>COUNTIFS('Пункты по категориям'!$B:$B,A3,'Пункты по категориям'!$E:$E,"Условное")</f>
        <v/>
      </c>
      <c r="D3" s="23">
        <f>COUNTIF('Правила категорий'!$B:$B,A3)</f>
        <v/>
      </c>
      <c r="E3" s="23">
        <f>COUNTIF('Опасности по категориям'!$A:$A,A3)</f>
        <v/>
      </c>
    </row>
    <row r="4" ht="15" customHeight="1" s="17">
      <c r="A4" s="23" t="inlineStr">
        <is>
          <t>Работа в замкнутом пространстве</t>
        </is>
      </c>
      <c r="B4" s="23">
        <f>COUNTIFS('Пункты по категориям'!$B:$B,A4,'Пункты по категориям'!$E:$E,"Ядро")</f>
        <v/>
      </c>
      <c r="C4" s="23">
        <f>COUNTIFS('Пункты по категориям'!$B:$B,A4,'Пункты по категориям'!$E:$E,"Условное")</f>
        <v/>
      </c>
      <c r="D4" s="23">
        <f>COUNTIF('Правила категорий'!$B:$B,A4)</f>
        <v/>
      </c>
      <c r="E4" s="23">
        <f>COUNTIF('Опасности по категориям'!$A:$A,A4)</f>
        <v/>
      </c>
    </row>
    <row r="5" ht="15" customHeight="1" s="17">
      <c r="A5" s="23" t="inlineStr">
        <is>
          <t>Другие работы повышенной опасности</t>
        </is>
      </c>
      <c r="B5" s="23">
        <f>COUNTIFS('Пункты по категориям'!$B:$B,A5,'Пункты по категориям'!$E:$E,"Ядро")</f>
        <v/>
      </c>
      <c r="C5" s="23">
        <f>COUNTIFS('Пункты по категориям'!$B:$B,A5,'Пункты по категориям'!$E:$E,"Условное")</f>
        <v/>
      </c>
      <c r="D5" s="23">
        <f>COUNTIF('Правила категорий'!$B:$B,A5)</f>
        <v/>
      </c>
      <c r="E5" s="23">
        <f>COUNTIF('Опасности по категориям'!$A:$A,A5)</f>
        <v/>
      </c>
    </row>
    <row r="6" ht="15" customHeight="1" s="17">
      <c r="A6" s="23" t="inlineStr">
        <is>
          <t>Огневые работы</t>
        </is>
      </c>
      <c r="B6" s="23">
        <f>COUNTIFS('Пункты по категориям'!$B:$B,A6,'Пункты по категориям'!$E:$E,"Ядро")</f>
        <v/>
      </c>
      <c r="C6" s="23">
        <f>COUNTIFS('Пункты по категориям'!$B:$B,A6,'Пункты по категориям'!$E:$E,"Условное")</f>
        <v/>
      </c>
      <c r="D6" s="23">
        <f>COUNTIF('Правила категорий'!$B:$B,A6)</f>
        <v/>
      </c>
      <c r="E6" s="23">
        <f>COUNTIF('Опасности по категориям'!$A:$A,A6)</f>
        <v/>
      </c>
    </row>
    <row r="7" ht="15" customHeight="1" s="17">
      <c r="A7" s="23" t="inlineStr">
        <is>
          <t>Газоопасные работы</t>
        </is>
      </c>
      <c r="B7" s="23">
        <f>COUNTIFS('Пункты по категориям'!$B:$B,A7,'Пункты по категориям'!$E:$E,"Ядро")</f>
        <v/>
      </c>
      <c r="C7" s="23">
        <f>COUNTIFS('Пункты по категориям'!$B:$B,A7,'Пункты по категориям'!$E:$E,"Условное")</f>
        <v/>
      </c>
      <c r="D7" s="23">
        <f>COUNTIF('Правила категорий'!$B:$B,A7)</f>
        <v/>
      </c>
      <c r="E7" s="23">
        <f>COUNTIF('Опасности по категориям'!$A:$A,A7)</f>
        <v/>
      </c>
    </row>
    <row r="8" ht="15" customHeight="1" s="17">
      <c r="A8" s="23" t="inlineStr">
        <is>
          <t>Работы на высоте</t>
        </is>
      </c>
      <c r="B8" s="23">
        <f>COUNTIFS('Пункты по категориям'!$B:$B,A8,'Пункты по категориям'!$E:$E,"Ядро")</f>
        <v/>
      </c>
      <c r="C8" s="23">
        <f>COUNTIFS('Пункты по категориям'!$B:$B,A8,'Пункты по категориям'!$E:$E,"Условное")</f>
        <v/>
      </c>
      <c r="D8" s="23">
        <f>COUNTIF('Правила категорий'!$B:$B,A8)</f>
        <v/>
      </c>
      <c r="E8" s="23">
        <f>COUNTIF('Опасности по категориям'!$A:$A,A8)</f>
        <v/>
      </c>
    </row>
    <row r="10" ht="15" customHeight="1" s="17">
      <c r="A10" s="20" t="inlineStr">
        <is>
          <t>Правил синтаксиса (все категории)</t>
        </is>
      </c>
      <c r="B10" s="16">
        <f>COUNTA(Синтаксис!$A:$A)-1</f>
        <v/>
      </c>
    </row>
    <row r="11" ht="15" customHeight="1" s="17">
      <c r="A11" s="20" t="inlineStr">
        <is>
          <t>Правил неприменимости (все категории)</t>
        </is>
      </c>
      <c r="B11" s="16">
        <f>COUNTA(Неприменимость!$A:$A)-1</f>
        <v/>
      </c>
    </row>
    <row r="12" ht="15" customHeight="1" s="17">
      <c r="A12" s="20" t="inlineStr">
        <is>
          <t>Правил оценки рисков (все категории)</t>
        </is>
      </c>
      <c r="B12" s="16">
        <f>COUNTA('Оценка рисков — правила'!$A:$A)-1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6" min="1" max="1"/>
    <col width="24" customWidth="1" style="16" min="2" max="2"/>
    <col width="34" customWidth="1" style="16" min="3" max="3"/>
    <col width="60" customWidth="1" style="16" min="4" max="4"/>
    <col width="13" customWidth="1" style="16" min="5" max="5"/>
    <col width="50" customWidth="1" style="16" min="6" max="6"/>
    <col width="26" customWidth="1" style="16" min="7" max="7"/>
    <col width="30" customWidth="1" style="16" min="8" max="8"/>
  </cols>
  <sheetData>
    <row r="1" ht="30" customHeight="1" s="17">
      <c r="A1" s="24" t="inlineStr">
        <is>
          <t>ID</t>
        </is>
      </c>
      <c r="B1" s="24" t="inlineStr">
        <is>
          <t>Проверка</t>
        </is>
      </c>
      <c r="C1" s="24" t="inlineStr">
        <is>
          <t>Описание</t>
        </is>
      </c>
      <c r="D1" s="24" t="inlineStr">
        <is>
          <t>Алгоритм / regex</t>
        </is>
      </c>
      <c r="E1" s="24" t="inlineStr">
        <is>
          <t>Критичность</t>
        </is>
      </c>
      <c r="F1" s="24" t="inlineStr">
        <is>
          <t>Сообщение пользователю</t>
        </is>
      </c>
      <c r="G1" s="24" t="inlineStr">
        <is>
          <t>Основание</t>
        </is>
      </c>
      <c r="H1" s="24" t="inlineStr">
        <is>
          <t>Примечание</t>
        </is>
      </c>
    </row>
    <row r="2" ht="34.5" customHeight="1" s="17">
      <c r="A2" s="25" t="inlineStr">
        <is>
          <t>S01</t>
        </is>
      </c>
      <c r="B2" s="25" t="inlineStr">
        <is>
          <t>Пустой пункт</t>
        </is>
      </c>
      <c r="C2" s="25" t="inlineStr">
        <is>
          <t>Значение пустое или только пробелы (прочерк не поставлен)</t>
        </is>
      </c>
      <c r="D2" s="25" t="inlineStr">
        <is>
          <t>trim(value)==''</t>
        </is>
      </c>
      <c r="E2" s="26" t="inlineStr">
        <is>
          <t>Критично</t>
        </is>
      </c>
      <c r="F2" s="25" t="inlineStr">
        <is>
          <t>Пункт 5.x не заполнен. Если мероприятие не требуется — поставьте прочерк «—», иначе опишите мероприятие.</t>
        </is>
      </c>
      <c r="G2" s="25" t="inlineStr">
        <is>
          <t>№ 344: в графах, не требующих заполнения, ставится прочерк</t>
        </is>
      </c>
      <c r="H2" s="25" t="n"/>
    </row>
    <row r="3" ht="45.75" customHeight="1" s="17">
      <c r="A3" s="25" t="inlineStr">
        <is>
          <t>S02</t>
        </is>
      </c>
      <c r="B3" s="25" t="inlineStr">
        <is>
          <t>Заглушка</t>
        </is>
      </c>
      <c r="C3" s="25" t="inlineStr">
        <is>
          <t>Тестовое или бессмысленное значение</t>
        </is>
      </c>
      <c r="D3" s="25" t="inlineStr">
        <is>
          <t>regex (без учёта регистра, после trim): ^(test\w*|тест\w*|asdf\w*|qwe\w*|йцук\w*|xxx+|ххх+|ааа+|zzz+|1+|123\w*|0+|\.+|\?+|!+|,+|\++|=+|_+|ok|ок|да|нет\s*данных|не\s*знаю|todo|tbd|\*+)$ ; либо один символ, повторённый ≥3 раз (^(.)\1{2,}$)</t>
        </is>
      </c>
      <c r="E3" s="26" t="inlineStr">
        <is>
          <t>Критично</t>
        </is>
      </c>
      <c r="F3" s="25" t="inlineStr">
        <is>
          <t>В пункте 5.x указано тестовое значение «{value}». Опишите мероприятие или поставьте прочерк, если оно не требуется.</t>
        </is>
      </c>
      <c r="G3" s="25" t="inlineStr">
        <is>
          <t>№ 344: заполнение по подстрочному тексту</t>
        </is>
      </c>
      <c r="H3" s="25" t="n"/>
    </row>
    <row r="4" ht="23.25" customHeight="1" s="17">
      <c r="A4" s="25" t="inlineStr">
        <is>
          <t>S03</t>
        </is>
      </c>
      <c r="B4" s="25" t="inlineStr">
        <is>
          <t>Повтор подсказки поля</t>
        </is>
      </c>
      <c r="C4" s="25" t="inlineStr">
        <is>
          <t>Текст совпадает с подсказкой (подстрочным текстом) пункта</t>
        </is>
      </c>
      <c r="D4" s="25" t="inlineStr">
        <is>
          <t>normalize(value)==normalize(hint) или value является подстрокой hint длиной ≥ 70% hint</t>
        </is>
      </c>
      <c r="E4" s="26" t="inlineStr">
        <is>
          <t>Критично</t>
        </is>
      </c>
      <c r="F4" s="25" t="inlineStr">
        <is>
          <t>В пункт 5.x скопирована подсказка поля. Укажите конкретное мероприятие.</t>
        </is>
      </c>
      <c r="G4" s="25" t="inlineStr">
        <is>
          <t>№ 344</t>
        </is>
      </c>
      <c r="H4" s="25" t="n"/>
    </row>
    <row r="5" ht="23.25" customHeight="1" s="17">
      <c r="A5" s="25" t="inlineStr">
        <is>
          <t>S04</t>
        </is>
      </c>
      <c r="B5" s="25" t="inlineStr">
        <is>
          <t>Слишком короткий текст</t>
        </is>
      </c>
      <c r="C5" s="25" t="inlineStr">
        <is>
          <t>Менее 3 значимых слов (без предлогов и союзов) и не прочерк</t>
        </is>
      </c>
      <c r="D5" s="25" t="inlineStr">
        <is>
          <t>count(words, len≥3, not in stopwords) &lt; 3</t>
        </is>
      </c>
      <c r="E5" s="27" t="inlineStr">
        <is>
          <t>Существенно</t>
        </is>
      </c>
      <c r="F5" s="25" t="inlineStr">
        <is>
          <t>Мероприятие в пункте 5.x описано слишком кратко. Укажите, что сделать, где и кем.</t>
        </is>
      </c>
      <c r="G5" s="25" t="inlineStr">
        <is>
          <t>Практика заполнения НД</t>
        </is>
      </c>
      <c r="H5" s="25" t="inlineStr">
        <is>
          <t>Заменяет правило «менее 5 символов»</t>
        </is>
      </c>
    </row>
    <row r="6" ht="23.25" customHeight="1" s="17">
      <c r="A6" s="25" t="inlineStr">
        <is>
          <t>S05</t>
        </is>
      </c>
      <c r="B6" s="25" t="inlineStr">
        <is>
          <t>Нет букв / только цифры и символы</t>
        </is>
      </c>
      <c r="C6" s="25" t="inlineStr">
        <is>
          <t>Доля букв (кириллица, казахские, латиница) &lt; 50%</t>
        </is>
      </c>
      <c r="D6" s="25" t="inlineStr">
        <is>
          <t>letters/len &lt; 0.5</t>
        </is>
      </c>
      <c r="E6" s="26" t="inlineStr">
        <is>
          <t>Критично</t>
        </is>
      </c>
      <c r="F6" s="25" t="inlineStr">
        <is>
          <t>Пункт 5.x не содержит текста мероприятия.</t>
        </is>
      </c>
      <c r="G6" s="25" t="inlineStr">
        <is>
          <t>№ 344</t>
        </is>
      </c>
      <c r="H6" s="25" t="n"/>
    </row>
    <row r="7" ht="23.25" customHeight="1" s="17">
      <c r="A7" s="25" t="inlineStr">
        <is>
          <t>S06</t>
        </is>
      </c>
      <c r="B7" s="25" t="inlineStr">
        <is>
          <t>Незаполненный шаблон</t>
        </is>
      </c>
      <c r="C7" s="25" t="inlineStr">
        <is>
          <t>Остались пропуски шаблона справочника</t>
        </is>
      </c>
      <c r="D7" s="25" t="inlineStr">
        <is>
          <t>regex: _{2,}|\[\s*\]|\{\s*\}|&lt;\s*&gt;|\.{3,}\s*$|…\s*$</t>
        </is>
      </c>
      <c r="E7" s="26" t="inlineStr">
        <is>
          <t>Критично</t>
        </is>
      </c>
      <c r="F7" s="25" t="inlineStr">
        <is>
          <t>В шаблоне пункта 5.x не заполнены значения («___»). Укажите: {template_fields}.</t>
        </is>
      </c>
      <c r="G7" s="25" t="inlineStr">
        <is>
          <t>Разметка справочника (тип «Шаблон»)</t>
        </is>
      </c>
      <c r="H7" s="25" t="n"/>
    </row>
    <row r="8" ht="23.25" customHeight="1" s="17">
      <c r="A8" s="25" t="inlineStr">
        <is>
          <t>S07</t>
        </is>
      </c>
      <c r="B8" s="25" t="inlineStr">
        <is>
          <t>Артефакты склейки справочника</t>
        </is>
      </c>
      <c r="C8" s="25" t="inlineStr">
        <is>
          <t>Двойная пунктуация и обрывки при склейке записей</t>
        </is>
      </c>
      <c r="D8" s="25" t="inlineStr">
        <is>
          <t>regex: \.;|;;|;\s*;|^\s*[;,.]|^\s*\S+;\s*[А-ЯЁ] (обрывок одного слова в начале, напр. «маршрут; Маршруты…»)|\s{2,}</t>
        </is>
      </c>
      <c r="E8" s="28" t="inlineStr">
        <is>
          <t>Рекомендация</t>
        </is>
      </c>
      <c r="F8" s="25" t="inlineStr">
        <is>
          <t>Исправлена пунктуация в пункте 5.x.</t>
        </is>
      </c>
      <c r="G8" s="25" t="inlineStr">
        <is>
          <t>—</t>
        </is>
      </c>
      <c r="H8" s="25" t="inlineStr">
        <is>
          <t>Автоисправление с показом пользователю</t>
        </is>
      </c>
    </row>
    <row r="9" ht="23.25" customHeight="1" s="17">
      <c r="A9" s="25" t="inlineStr">
        <is>
          <t>S08</t>
        </is>
      </c>
      <c r="B9" s="25" t="inlineStr">
        <is>
          <t>Незакрытые скобки и кавычки</t>
        </is>
      </c>
      <c r="C9" s="25" t="inlineStr">
        <is>
          <t>Непарные ( ) « » " "</t>
        </is>
      </c>
      <c r="D9" s="25" t="inlineStr">
        <is>
          <t>count('(')!=count(')') или count('«')!=count('»') или нечётное число '"'</t>
        </is>
      </c>
      <c r="E9" s="28" t="inlineStr">
        <is>
          <t>Рекомендация</t>
        </is>
      </c>
      <c r="F9" s="25" t="inlineStr">
        <is>
          <t>Проверьте скобки и кавычки в пункте 5.x.</t>
        </is>
      </c>
      <c r="G9" s="25" t="inlineStr">
        <is>
          <t>—</t>
        </is>
      </c>
      <c r="H9" s="25" t="n"/>
    </row>
    <row r="10" ht="23.25" customHeight="1" s="17">
      <c r="A10" s="25" t="inlineStr">
        <is>
          <t>S09</t>
        </is>
      </c>
      <c r="B10" s="25" t="inlineStr">
        <is>
          <t>Смешение языков</t>
        </is>
      </c>
      <c r="C10" s="25" t="inlineStr">
        <is>
          <t>Казахские буквы в русском тексте (или наоборот при языке KK)</t>
        </is>
      </c>
      <c r="D10" s="25" t="inlineStr">
        <is>
          <t>lang(ui)=ru и regex [әғқңөұүһіӘҒҚҢӨҰҮҺІ] найден; для kk — доля русских слов из словаря &gt; 50% (кроме терминов)</t>
        </is>
      </c>
      <c r="E10" s="28" t="inlineStr">
        <is>
          <t>Рекомендация</t>
        </is>
      </c>
      <c r="F10" s="25" t="inlineStr">
        <is>
          <t>В русском тексте пункта 5.x есть фрагмент на казахском языке — уберите или вынесите в казахскую версию.</t>
        </is>
      </c>
      <c r="G10" s="25" t="inlineStr">
        <is>
          <t>—</t>
        </is>
      </c>
      <c r="H10" s="25" t="inlineStr">
        <is>
          <t>Пример из справочника: «(ауысым алдындағы медтексеру)»</t>
        </is>
      </c>
    </row>
    <row r="11" ht="23.25" customHeight="1" s="17">
      <c r="A11" s="25" t="inlineStr">
        <is>
          <t>S10</t>
        </is>
      </c>
      <c r="B11" s="25" t="inlineStr">
        <is>
          <t>Латиница вместо кириллицы</t>
        </is>
      </c>
      <c r="C11" s="25" t="inlineStr">
        <is>
          <t>Латинские буквы-двойники внутри кириллических слов</t>
        </is>
      </c>
      <c r="D11" s="25" t="inlineStr">
        <is>
          <t>regex: [А-Яа-яЁё][AaBCcEeHKMOoPpTXxy]|[AaBCcEeHKMOoPpTXxy][А-Яа-яЁё]</t>
        </is>
      </c>
      <c r="E11" s="28" t="inlineStr">
        <is>
          <t>Рекомендация</t>
        </is>
      </c>
      <c r="F11" s="25" t="inlineStr">
        <is>
          <t>Исправлены символы в пункте 5.x.</t>
        </is>
      </c>
      <c r="G11" s="25" t="inlineStr">
        <is>
          <t>—</t>
        </is>
      </c>
      <c r="H11" s="25" t="inlineStr">
        <is>
          <t>Автоисправление; ломает поиск и сравнение со справочником</t>
        </is>
      </c>
    </row>
    <row r="12" ht="23.25" customHeight="1" s="17">
      <c r="A12" s="25" t="inlineStr">
        <is>
          <t>S11</t>
        </is>
      </c>
      <c r="B12" s="25" t="inlineStr">
        <is>
          <t>Дубль мероприятия</t>
        </is>
      </c>
      <c r="C12" s="25" t="inlineStr">
        <is>
          <t>Одинаковый текст в одном пункте или в разных пунктах</t>
        </is>
      </c>
      <c r="D12" s="25" t="inlineStr">
        <is>
          <t>normalize(a)==normalize(b) или similarity ≥ 0.95</t>
        </is>
      </c>
      <c r="E12" s="27" t="inlineStr">
        <is>
          <t>Существенно</t>
        </is>
      </c>
      <c r="F12" s="25" t="inlineStr">
        <is>
          <t>Мероприятие «{short}» повторяется в пунктах {p1} и {p2}. Оставьте в одном, подходящем по смыслу.</t>
        </is>
      </c>
      <c r="G12" s="25" t="inlineStr">
        <is>
          <t>Разметка справочника</t>
        </is>
      </c>
      <c r="H12" s="25" t="n"/>
    </row>
    <row r="13" ht="15" customHeight="1" s="17">
      <c r="A13" s="25" t="inlineStr">
        <is>
          <t>S12</t>
        </is>
      </c>
      <c r="B13" s="25" t="inlineStr">
        <is>
          <t>Повтор слова</t>
        </is>
      </c>
      <c r="C13" s="25" t="inlineStr">
        <is>
          <t>Одно слово подряд дважды</t>
        </is>
      </c>
      <c r="D13" s="25" t="inlineStr">
        <is>
          <t>regex: \b(\w+)\s+\1\b (без учёта регистра)</t>
        </is>
      </c>
      <c r="E13" s="28" t="inlineStr">
        <is>
          <t>Рекомендация</t>
        </is>
      </c>
      <c r="F13" s="25" t="inlineStr">
        <is>
          <t>Уберите повтор слова в пункте 5.x.</t>
        </is>
      </c>
      <c r="G13" s="25" t="inlineStr">
        <is>
          <t>—</t>
        </is>
      </c>
      <c r="H13" s="25" t="inlineStr">
        <is>
          <t>Автоисправление</t>
        </is>
      </c>
    </row>
    <row r="14" ht="23.25" customHeight="1" s="17">
      <c r="A14" s="25" t="inlineStr">
        <is>
          <t>S13</t>
        </is>
      </c>
      <c r="B14" s="25" t="inlineStr">
        <is>
          <t>Нормализация прочерка</t>
        </is>
      </c>
      <c r="C14" s="25" t="inlineStr">
        <is>
          <t>Варианты прочерка приводятся к «—»</t>
        </is>
      </c>
      <c r="D14" s="25" t="inlineStr">
        <is>
          <t>value in {'-','–','—','--','н/п','нп','не применимо','не требуется','не предусмотрено'} → '—'; «нет» без обоснования → need_input</t>
        </is>
      </c>
      <c r="E14" s="25" t="inlineStr">
        <is>
          <t>—</t>
        </is>
      </c>
      <c r="F14" s="25" t="inlineStr">
        <is>
          <t>—</t>
        </is>
      </c>
      <c r="G14" s="25" t="inlineStr">
        <is>
          <t>№ 344</t>
        </is>
      </c>
      <c r="H14" s="25" t="inlineStr">
        <is>
          <t>Служебное правило, результат используется правилами N07, N08</t>
        </is>
      </c>
    </row>
    <row r="15" ht="34.5" customHeight="1" s="17">
      <c r="A15" s="25" t="inlineStr">
        <is>
          <t>S14</t>
        </is>
      </c>
      <c r="B15" s="25" t="inlineStr">
        <is>
          <t>Число без единиц</t>
        </is>
      </c>
      <c r="C15" s="25" t="inlineStr">
        <is>
          <t>Числовое значение без единицы измерения там, где она обязательна</t>
        </is>
      </c>
      <c r="D15" s="25" t="inlineStr">
        <is>
          <t>regex: \b\d+([.,]\d+)?\b не followed by (м|мм|см|км|м/с|°C|°|кг|т|кВ|В|%|мг/м3|ppm|мин|ч|лк|шт|чел) в контексте слов «расстояние, высота, глубина, радиус, скорость, масса, напряжение, концентрация»</t>
        </is>
      </c>
      <c r="E15" s="27" t="inlineStr">
        <is>
          <t>Существенно</t>
        </is>
      </c>
      <c r="F15" s="25" t="inlineStr">
        <is>
          <t>Укажите единицы измерения для «{number}» в пункте 5.x.</t>
        </is>
      </c>
      <c r="G15" s="25" t="inlineStr">
        <is>
          <t>—</t>
        </is>
      </c>
      <c r="H15" s="25" t="n"/>
    </row>
    <row r="16" ht="23.25" customHeight="1" s="17">
      <c r="A16" s="25" t="inlineStr">
        <is>
          <t>S15</t>
        </is>
      </c>
      <c r="B16" s="25" t="inlineStr">
        <is>
          <t>Недопустимые символы</t>
        </is>
      </c>
      <c r="C16" s="25" t="inlineStr">
        <is>
          <t>Emoji, HTML-теги, управляющие символы</t>
        </is>
      </c>
      <c r="D16" s="25" t="inlineStr">
        <is>
          <t>regex: &lt;[^&gt;]+&gt;|[\u0000-\u0008\u000B\u000C\u000E-\u001F]|[\U0001F300-\U0001FAFF]</t>
        </is>
      </c>
      <c r="E16" s="28" t="inlineStr">
        <is>
          <t>Рекомендация</t>
        </is>
      </c>
      <c r="F16" s="25" t="inlineStr">
        <is>
          <t>Удалены недопустимые символы.</t>
        </is>
      </c>
      <c r="G16" s="25" t="inlineStr">
        <is>
          <t>—</t>
        </is>
      </c>
      <c r="H16" s="25" t="inlineStr">
        <is>
          <t>Автоисправление</t>
        </is>
      </c>
    </row>
    <row r="17" ht="23.25" customHeight="1" s="17">
      <c r="A17" s="25" t="inlineStr">
        <is>
          <t>S16</t>
        </is>
      </c>
      <c r="B17" s="25" t="inlineStr">
        <is>
          <t>Слишком длинная запись</t>
        </is>
      </c>
      <c r="C17" s="25" t="inlineStr">
        <is>
          <t>Одна запись &gt; 1500 символов</t>
        </is>
      </c>
      <c r="D17" s="25" t="inlineStr">
        <is>
          <t>len(value) &gt; 1500</t>
        </is>
      </c>
      <c r="E17" s="28" t="inlineStr">
        <is>
          <t>Рекомендация</t>
        </is>
      </c>
      <c r="F17" s="25" t="inlineStr">
        <is>
          <t>Запись в пункте 5.x слишком длинная — разбейте на отдельные мероприятия.</t>
        </is>
      </c>
      <c r="G17" s="25" t="inlineStr">
        <is>
          <t>—</t>
        </is>
      </c>
      <c r="H17" s="25" t="inlineStr">
        <is>
          <t>Порог — параметр</t>
        </is>
      </c>
    </row>
    <row r="18" ht="23.25" customHeight="1" s="17">
      <c r="A18" s="25" t="inlineStr">
        <is>
          <t>S17</t>
        </is>
      </c>
      <c r="B18" s="25" t="inlineStr">
        <is>
          <t>Число вне здравого диапазона</t>
        </is>
      </c>
      <c r="C18" s="25" t="inlineStr">
        <is>
          <t>Известный параметр с неправдоподобным значением</t>
        </is>
      </c>
      <c r="D18" s="25" t="inlineStr">
        <is>
          <t>ветер &gt; 60 м/с; угол &gt; 90°; высота &gt; 500 м; глубина &gt; 30 м; расстояние &gt; 10000 м; температура вне −60…+60 °C; концентрация &gt; 100%</t>
        </is>
      </c>
      <c r="E18" s="27" t="inlineStr">
        <is>
          <t>Существенно</t>
        </is>
      </c>
      <c r="F18" s="25" t="inlineStr">
        <is>
          <t>Проверьте значение «{number}» в пункте 5.x.</t>
        </is>
      </c>
      <c r="G18" s="25" t="inlineStr">
        <is>
          <t>—</t>
        </is>
      </c>
      <c r="H18" s="25" t="n"/>
    </row>
  </sheetData>
  <autoFilter ref="A1:H1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6" min="1" max="1"/>
    <col width="26" customWidth="1" style="16" min="2" max="2"/>
    <col width="40" customWidth="1" style="16" min="3" max="4"/>
    <col width="13" customWidth="1" style="16" min="5" max="5"/>
    <col width="50" customWidth="1" style="16" min="6" max="6"/>
    <col width="26" customWidth="1" style="16" min="7" max="7"/>
    <col width="40" customWidth="1" style="16" min="8" max="8"/>
  </cols>
  <sheetData>
    <row r="1" ht="30" customHeight="1" s="17">
      <c r="A1" s="24" t="inlineStr">
        <is>
          <t>ID</t>
        </is>
      </c>
      <c r="B1" s="24" t="inlineStr">
        <is>
          <t>Проверка</t>
        </is>
      </c>
      <c r="C1" s="24" t="inlineStr">
        <is>
          <t>Описание</t>
        </is>
      </c>
      <c r="D1" s="24" t="inlineStr">
        <is>
          <t>Как определяется</t>
        </is>
      </c>
      <c r="E1" s="24" t="inlineStr">
        <is>
          <t>Критичность</t>
        </is>
      </c>
      <c r="F1" s="24" t="inlineStr">
        <is>
          <t>Сообщение пользователю</t>
        </is>
      </c>
      <c r="G1" s="24" t="inlineStr">
        <is>
          <t>Основание</t>
        </is>
      </c>
      <c r="H1" s="24" t="inlineStr">
        <is>
          <t>Пример</t>
        </is>
      </c>
    </row>
    <row r="2" ht="34.5" customHeight="1" s="17">
      <c r="A2" s="25" t="inlineStr">
        <is>
          <t>N01</t>
        </is>
      </c>
      <c r="B2" s="25" t="inlineStr">
        <is>
          <t>Маркеры другой категории</t>
        </is>
      </c>
      <c r="C2" s="25" t="inlineStr">
        <is>
          <t>В тексте есть маркеры группы, не разрешённой для категории и не включённой фактором</t>
        </is>
      </c>
      <c r="D2" s="25" t="inlineStr">
        <is>
          <t>Код: словарь маркеров (лист «Словарь маркеров»); LLM подтверждает при спорном случае</t>
        </is>
      </c>
      <c r="E2" s="27" t="inlineStr">
        <is>
          <t>Существенно</t>
        </is>
      </c>
      <c r="F2" s="25" t="inlineStr">
        <is>
          <t>Мероприятие «{short}» относится к {group} и, вероятно, не применимо к работе «{category}». Уточните или удалите.</t>
        </is>
      </c>
      <c r="G2" s="25" t="inlineStr">
        <is>
          <t>Разметка справочника</t>
        </is>
      </c>
      <c r="H2" s="25" t="inlineStr">
        <is>
          <t>Пример: краги сварщика в ГПР; тренога над горловиной ёмкости при предупреждении машинистов кранов</t>
        </is>
      </c>
    </row>
    <row r="3" ht="23.25" customHeight="1" s="17">
      <c r="A3" s="25" t="inlineStr">
        <is>
          <t>N02</t>
        </is>
      </c>
      <c r="B3" s="25" t="inlineStr">
        <is>
          <t>Условная запись при факторе = Нет</t>
        </is>
      </c>
      <c r="C3" s="25" t="inlineStr">
        <is>
          <t>Выбрана запись справочника, условие применимости которой не выполняется</t>
        </is>
      </c>
      <c r="D3" s="25" t="inlineStr">
        <is>
          <t>Код: catalog.applies_when ∩ factors</t>
        </is>
      </c>
      <c r="E3" s="28" t="inlineStr">
        <is>
          <t>Рекомендация</t>
        </is>
      </c>
      <c r="F3" s="25" t="inlineStr">
        <is>
          <t>Мероприятие применимо при условии «{factor}», а для этой работы оно не отмечено. Уточните или удалите.</t>
        </is>
      </c>
      <c r="G3" s="25" t="inlineStr">
        <is>
          <t>Разметка справочника</t>
        </is>
      </c>
      <c r="H3" s="25" t="n"/>
    </row>
    <row r="4" ht="45.75" customHeight="1" s="17">
      <c r="A4" s="25" t="inlineStr">
        <is>
          <t>N03</t>
        </is>
      </c>
      <c r="B4" s="25" t="inlineStr">
        <is>
          <t>Сезонная неприменимость</t>
        </is>
      </c>
      <c r="C4" s="25" t="inlineStr">
        <is>
          <t>Меры для низких температур, обледенения, снега при датах работ в тёплый период — и наоборот (меры от жары зимой)</t>
        </is>
      </c>
      <c r="D4" s="25" t="inlineStr">
        <is>
          <t>Код: даты работ vs параметр «тёплый период ОМГ»; маркеры: мороз, обледенен, гололёд, снег, −20, −30, −40, ниже -N °C / жара, тепловой удар, +40</t>
        </is>
      </c>
      <c r="E4" s="28" t="inlineStr">
        <is>
          <t>Рекомендация</t>
        </is>
      </c>
      <c r="F4" s="25" t="inlineStr">
        <is>
          <t>Мероприятие для {season} не соответствует датам работ {dates}.</t>
        </is>
      </c>
      <c r="G4" s="25" t="inlineStr">
        <is>
          <t>Параметр организации</t>
        </is>
      </c>
      <c r="H4" s="25" t="inlineStr">
        <is>
          <t>Не критично: лишняя мера не опасна, но засоряет НД</t>
        </is>
      </c>
    </row>
    <row r="5" ht="34.5" customHeight="1" s="17">
      <c r="A5" s="25" t="inlineStr">
        <is>
          <t>N04</t>
        </is>
      </c>
      <c r="B5" s="25" t="inlineStr">
        <is>
          <t>Объект отсутствует в организации</t>
        </is>
      </c>
      <c r="C5" s="25" t="inlineStr">
        <is>
          <t>Упоминается объект, которого нет в профиле организации/подразделения (ж/д пути в ОМГ, мостовой кран на промысле)</t>
        </is>
      </c>
      <c r="D5" s="25" t="inlineStr">
        <is>
          <t>Код: профиль подразделения (objects, F10 и т.п.)</t>
        </is>
      </c>
      <c r="E5" s="28" t="inlineStr">
        <is>
          <t>Рекомендация</t>
        </is>
      </c>
      <c r="F5" s="25" t="inlineStr">
        <is>
          <t>В профиле подразделения нет объекта «{object}». Подтвердите применимость мероприятия.</t>
        </is>
      </c>
      <c r="G5" s="25" t="inlineStr">
        <is>
          <t>Профиль ОМГ</t>
        </is>
      </c>
      <c r="H5" s="25" t="n"/>
    </row>
    <row r="6" ht="34.5" customHeight="1" s="17">
      <c r="A6" s="25" t="inlineStr">
        <is>
          <t>N05</t>
        </is>
      </c>
      <c r="B6" s="25" t="inlineStr">
        <is>
          <t>Мероприятие не в своём пункте</t>
        </is>
      </c>
      <c r="C6" s="25" t="inlineStr">
        <is>
          <t>Содержание относится к другому пункту формы (газоанализ в 5.3, установка крана в 5.1)</t>
        </is>
      </c>
      <c r="D6" s="25" t="inlineStr">
        <is>
          <t>Код: классификатор пунктов по маркерам; LLM при неоднозначности</t>
        </is>
      </c>
      <c r="E6" s="28" t="inlineStr">
        <is>
          <t>Рекомендация</t>
        </is>
      </c>
      <c r="F6" s="25" t="inlineStr">
        <is>
          <t>Мероприятие «{short}» по смыслу относится к пункту {target}. Перенесите.</t>
        </is>
      </c>
      <c r="G6" s="25" t="inlineStr">
        <is>
          <t>Форма НД (подстрочный текст)</t>
        </is>
      </c>
      <c r="H6" s="25" t="n"/>
    </row>
    <row r="7" ht="34.5" customHeight="1" s="17">
      <c r="A7" s="25" t="inlineStr">
        <is>
          <t>N06</t>
        </is>
      </c>
      <c r="B7" s="25" t="inlineStr">
        <is>
          <t>Прочерк в применимом пункте</t>
        </is>
      </c>
      <c r="C7" s="25" t="inlineStr">
        <is>
          <t>Прочерк или «не требуется» в пункте со статусом «Ядро» категории или при факторе = Да</t>
        </is>
      </c>
      <c r="D7" s="25" t="inlineStr">
        <is>
          <t>Код: матрица пунктов + факторы</t>
        </is>
      </c>
      <c r="E7" s="26" t="inlineStr">
        <is>
          <t>Критично</t>
        </is>
      </c>
      <c r="F7" s="25" t="inlineStr">
        <is>
          <t>Пункт 5.x обязателен для работы «{category}» — прочерк недопустим. Укажите мероприятие.</t>
        </is>
      </c>
      <c r="G7" s="25" t="inlineStr">
        <is>
          <t>№ 344 + матрица категорий</t>
        </is>
      </c>
      <c r="H7" s="25" t="n"/>
    </row>
    <row r="8" ht="34.5" customHeight="1" s="17">
      <c r="A8" s="25" t="inlineStr">
        <is>
          <t>N07</t>
        </is>
      </c>
      <c r="B8" s="25" t="inlineStr">
        <is>
          <t>Обоснование неприменимости противоречит данным</t>
        </is>
      </c>
      <c r="C8" s="25" t="inlineStr">
        <is>
          <t>«Не требуется» с обоснованием, которое противоречит факторам, описанию или рискам</t>
        </is>
      </c>
      <c r="D8" s="25" t="inlineStr">
        <is>
          <t>LLM: извлечение утверждения из обоснования + код: сверка с factors/risks</t>
        </is>
      </c>
      <c r="E8" s="27" t="inlineStr">
        <is>
          <t>Существенно</t>
        </is>
      </c>
      <c r="F8" s="25" t="inlineStr">
        <is>
          <t>Обоснование «{reason}» противоречит {conflict}. Проверьте пункт 5.x.</t>
        </is>
      </c>
      <c r="G8" s="25" t="inlineStr">
        <is>
          <t>Непротиворечивость НД</t>
        </is>
      </c>
      <c r="H8" s="25" t="inlineStr">
        <is>
          <t>Пример: «работ на высоте нет», а в рисках — падение с высоты</t>
        </is>
      </c>
    </row>
    <row r="9" ht="23.25" customHeight="1" s="17">
      <c r="A9" s="25" t="inlineStr">
        <is>
          <t>N08</t>
        </is>
      </c>
      <c r="B9" s="25" t="inlineStr">
        <is>
          <t>Оборудование не из описания работ</t>
        </is>
      </c>
      <c r="C9" s="25" t="inlineStr">
        <is>
          <t>Мероприятие относится к оборудованию, которого нет в описании работ и профиле</t>
        </is>
      </c>
      <c r="D9" s="25" t="inlineStr">
        <is>
          <t>LLM + код (словарь оборудования)</t>
        </is>
      </c>
      <c r="E9" s="29" t="inlineStr">
        <is>
          <t>Вопрос</t>
        </is>
      </c>
      <c r="F9" s="25" t="inlineStr">
        <is>
          <t>Мероприятие упоминает «{equipment}». Используется ли это оборудование в данной работе?</t>
        </is>
      </c>
      <c r="G9" s="25" t="inlineStr">
        <is>
          <t>—</t>
        </is>
      </c>
      <c r="H9" s="25" t="inlineStr">
        <is>
          <t>need_input, не замечание</t>
        </is>
      </c>
    </row>
    <row r="10" ht="23.25" customHeight="1" s="17">
      <c r="A10" s="25" t="inlineStr">
        <is>
          <t>N09</t>
        </is>
      </c>
      <c r="B10" s="25" t="inlineStr">
        <is>
          <t>Взаимоисключающие мероприятия</t>
        </is>
      </c>
      <c r="C10" s="25" t="inlineStr">
        <is>
          <t>Два мероприятия противоречат друг другу</t>
        </is>
      </c>
      <c r="D10" s="25" t="inlineStr">
        <is>
          <t>LLM (пары утверждений)</t>
        </is>
      </c>
      <c r="E10" s="27" t="inlineStr">
        <is>
          <t>Существенно</t>
        </is>
      </c>
      <c r="F10" s="25" t="inlineStr">
        <is>
          <t>Мероприятия «{a}» и «{b}» противоречат друг другу. Оставьте одно.</t>
        </is>
      </c>
      <c r="G10" s="25" t="inlineStr">
        <is>
          <t>Непротиворечивость НД</t>
        </is>
      </c>
      <c r="H10" s="25" t="inlineStr">
        <is>
          <t>Пример: «работы ведутся с земли» и «подъём в люльке автовышки»</t>
        </is>
      </c>
    </row>
    <row r="11" ht="34.5" customHeight="1" s="17">
      <c r="A11" s="25" t="inlineStr">
        <is>
          <t>N10</t>
        </is>
      </c>
      <c r="B11" s="25" t="inlineStr">
        <is>
          <t>Не подготовительное мероприятие</t>
        </is>
      </c>
      <c r="C11" s="25" t="inlineStr">
        <is>
          <t>Действия при аварии или по окончании работ внесены в раздел 5</t>
        </is>
      </c>
      <c r="D11" s="25" t="inlineStr">
        <is>
          <t>Код: маркеры (при пожаре, при аварии, вызвать скорую, по окончании работ, сдать СИЗ, закрыть наряд)</t>
        </is>
      </c>
      <c r="E11" s="28" t="inlineStr">
        <is>
          <t>Рекомендация</t>
        </is>
      </c>
      <c r="F11" s="25" t="inlineStr">
        <is>
          <t>Действия «при аварии» / «по окончании работ» не относятся к подготовительным мероприятиям.</t>
        </is>
      </c>
      <c r="G11" s="25" t="inlineStr">
        <is>
          <t>Разметка справочника</t>
        </is>
      </c>
      <c r="H11" s="25" t="n"/>
    </row>
    <row r="12" ht="34.5" customHeight="1" s="17">
      <c r="A12" s="25" t="inlineStr">
        <is>
          <t>N11</t>
        </is>
      </c>
      <c r="B12" s="25" t="inlineStr">
        <is>
          <t>Ссылка на нормы других государств</t>
        </is>
      </c>
      <c r="C12" s="25" t="inlineStr">
        <is>
          <t>Текст пользователя ссылается на НПА РФ и других государств</t>
        </is>
      </c>
      <c r="D12" s="25" t="inlineStr">
        <is>
          <t>Код: стоп-словарь (лист «Стоп-словарь»)</t>
        </is>
      </c>
      <c r="E12" s="27" t="inlineStr">
        <is>
          <t>Существенно</t>
        </is>
      </c>
      <c r="F12" s="25" t="inlineStr">
        <is>
          <t>В пункте 5.x указана ссылка на документ, не действующий в РК: «{ref}». Замените ссылкой на НПА РК или стандарт организации.</t>
        </is>
      </c>
      <c r="G12" s="25" t="inlineStr">
        <is>
          <t>Требование применения НПА РК</t>
        </is>
      </c>
      <c r="H12" s="25" t="n"/>
    </row>
    <row r="13" ht="57" customHeight="1" s="17">
      <c r="A13" s="25" t="inlineStr">
        <is>
          <t>N12</t>
        </is>
      </c>
      <c r="B13" s="25" t="inlineStr">
        <is>
          <t>Категория противоречит флагам раздела 2</t>
        </is>
      </c>
      <c r="C13" s="25" t="inlineStr">
        <is>
          <t>Флаг не соответствует категории</t>
        </is>
      </c>
      <c r="D13" s="25" t="inlineStr">
        <is>
          <t>Код: газоопасные и замкнутое пространство → «Контроль ГВС» = Да; земляные → «Согласование со смежными» = Да; огневые → поле «Противопожарная служба» по параметру ОМГ</t>
        </is>
      </c>
      <c r="E13" s="26" t="inlineStr">
        <is>
          <t>Критично</t>
        </is>
      </c>
      <c r="F13" s="25" t="inlineStr">
        <is>
          <t>Для работы «{category}» флаг «{flag}» должен быть «{value}».</t>
        </is>
      </c>
      <c r="G13" s="25" t="inlineStr">
        <is>
          <t>№ 344 (земляные — согласование); № 355 п. 33 (анализ среды)</t>
        </is>
      </c>
      <c r="H13" s="25" t="n"/>
    </row>
    <row r="14" ht="23.25" customHeight="1" s="17">
      <c r="A14" s="25" t="inlineStr">
        <is>
          <t>N13</t>
        </is>
      </c>
      <c r="B14" s="25" t="inlineStr">
        <is>
          <t>Флаг противоречит тексту</t>
        </is>
      </c>
      <c r="C14" s="25" t="inlineStr">
        <is>
          <t>Флаг раздела 2 = Нет, а в тексте мероприятие по этому флагу (или наоборот)</t>
        </is>
      </c>
      <c r="D14" s="25" t="inlineStr">
        <is>
          <t>LLM (извлечение фактов) + код</t>
        </is>
      </c>
      <c r="E14" s="26" t="inlineStr">
        <is>
          <t>Критично</t>
        </is>
      </c>
      <c r="F14" s="25" t="inlineStr">
        <is>
          <t>Флаг «{flag}» = «{value}», но в пункте {p} указано: «{short}». Приведите в соответствие.</t>
        </is>
      </c>
      <c r="G14" s="25" t="inlineStr">
        <is>
          <t>Непротиворечивость НД</t>
        </is>
      </c>
      <c r="H14" s="25" t="inlineStr">
        <is>
          <t>Пример: ГВС = Нет, а в 5.4 непрерывный газовый контроль</t>
        </is>
      </c>
    </row>
    <row r="15" ht="15" customHeight="1" s="17">
      <c r="A15" s="25" t="inlineStr">
        <is>
          <t>N14</t>
        </is>
      </c>
      <c r="B15" s="25" t="inlineStr">
        <is>
          <t>Условие неизвестно</t>
        </is>
      </c>
      <c r="C15" s="25" t="inlineStr">
        <is>
          <t>Для условной записи фактор не определён</t>
        </is>
      </c>
      <c r="D15" s="25" t="inlineStr">
        <is>
          <t>Код</t>
        </is>
      </c>
      <c r="E15" s="29" t="inlineStr">
        <is>
          <t>Вопрос</t>
        </is>
      </c>
      <c r="F15" s="25" t="inlineStr">
        <is>
          <t>Уточните: {factor_question}</t>
        </is>
      </c>
      <c r="G15" s="25" t="inlineStr">
        <is>
          <t>—</t>
        </is>
      </c>
      <c r="H15" s="25" t="inlineStr">
        <is>
          <t>need_input</t>
        </is>
      </c>
    </row>
  </sheetData>
  <autoFilter ref="A1:H1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6" min="1" max="1"/>
    <col width="24" customWidth="1" style="16" min="2" max="2"/>
    <col width="7" customWidth="1" style="16" min="3" max="3"/>
    <col width="26" customWidth="1" style="16" min="4" max="4"/>
    <col width="12" customWidth="1" style="16" min="5" max="5"/>
    <col width="16" customWidth="1" style="16" min="6" max="6"/>
    <col width="55" customWidth="1" style="16" min="7" max="7"/>
    <col width="14" customWidth="1" style="16" min="8" max="8"/>
    <col width="40" customWidth="1" style="16" min="9" max="9"/>
  </cols>
  <sheetData>
    <row r="1" ht="30" customHeight="1" s="17">
      <c r="A1" s="24" t="inlineStr">
        <is>
          <t>ID</t>
        </is>
      </c>
      <c r="B1" s="24" t="inlineStr">
        <is>
          <t>Категория</t>
        </is>
      </c>
      <c r="C1" s="24" t="inlineStr">
        <is>
          <t>Пункт</t>
        </is>
      </c>
      <c r="D1" s="24" t="inlineStr">
        <is>
          <t>Название пункта</t>
        </is>
      </c>
      <c r="E1" s="24" t="inlineStr">
        <is>
          <t>Статус</t>
        </is>
      </c>
      <c r="F1" s="24" t="inlineStr">
        <is>
          <t>Факторы (для условного)</t>
        </is>
      </c>
      <c r="G1" s="24" t="inlineStr">
        <is>
          <t>Минимальное содержание (ключевые элементы)</t>
        </is>
      </c>
      <c r="H1" s="24" t="inlineStr">
        <is>
          <t>Критичность при отсутствии</t>
        </is>
      </c>
      <c r="I1" s="24" t="inlineStr">
        <is>
          <t>Основание</t>
        </is>
      </c>
    </row>
    <row r="2" ht="15" customHeight="1" s="17">
      <c r="A2" s="25" t="inlineStr">
        <is>
          <t>ZR-5.1</t>
        </is>
      </c>
      <c r="B2" s="25" t="inlineStr">
        <is>
          <t>Земляные работы</t>
        </is>
      </c>
      <c r="C2" s="25" t="inlineStr">
        <is>
          <t>5.1</t>
        </is>
      </c>
      <c r="D2" s="25" t="inlineStr">
        <is>
          <t>Остановить</t>
        </is>
      </c>
      <c r="E2" s="28" t="inlineStr">
        <is>
          <t>Условное</t>
        </is>
      </c>
      <c r="F2" s="25" t="inlineStr">
        <is>
          <t>F12, F29</t>
        </is>
      </c>
      <c r="G2" s="25" t="inlineStr">
        <is>
          <t>Остановка техники и оборудования в зоне выемки</t>
        </is>
      </c>
      <c r="H2" s="27" t="inlineStr">
        <is>
          <t>Существенно</t>
        </is>
      </c>
      <c r="I2" s="25" t="inlineStr">
        <is>
          <t>Справочник ОМГ</t>
        </is>
      </c>
    </row>
    <row r="3" ht="23.25" customHeight="1" s="17">
      <c r="A3" s="25" t="inlineStr">
        <is>
          <t>ZR-5.2</t>
        </is>
      </c>
      <c r="B3" s="25" t="inlineStr">
        <is>
          <t>Земляные работы</t>
        </is>
      </c>
      <c r="C3" s="25" t="inlineStr">
        <is>
          <t>5.2</t>
        </is>
      </c>
      <c r="D3" s="25" t="inlineStr">
        <is>
          <t>Отключить</t>
        </is>
      </c>
      <c r="E3" s="28" t="inlineStr">
        <is>
          <t>Условное</t>
        </is>
      </c>
      <c r="F3" s="25" t="inlineStr">
        <is>
          <t>F27, F09</t>
        </is>
      </c>
      <c r="G3" s="25" t="inlineStr">
        <is>
          <t>Отключение кабелей в зоне работ; сброс давления в трубопроводах при вскрытии</t>
        </is>
      </c>
      <c r="H3" s="26" t="inlineStr">
        <is>
          <t>Критично</t>
        </is>
      </c>
      <c r="I3" s="25" t="inlineStr">
        <is>
          <t>№ 344 (согласование с владельцами коммуникаций)</t>
        </is>
      </c>
    </row>
    <row r="4" ht="23.25" customHeight="1" s="17">
      <c r="A4" s="25" t="inlineStr">
        <is>
          <t>ZR-5.3</t>
        </is>
      </c>
      <c r="B4" s="25" t="inlineStr">
        <is>
          <t>Земляные работы</t>
        </is>
      </c>
      <c r="C4" s="25" t="inlineStr">
        <is>
          <t>5.3</t>
        </is>
      </c>
      <c r="D4" s="25" t="inlineStr">
        <is>
          <t>Установить (заглушки, тупики, сигнальные лампы)</t>
        </is>
      </c>
      <c r="E4" s="28" t="inlineStr">
        <is>
          <t>Условное</t>
        </is>
      </c>
      <c r="F4" s="25" t="inlineStr">
        <is>
          <t>F32</t>
        </is>
      </c>
      <c r="G4" s="25" t="inlineStr">
        <is>
          <t>Заглушки при вскрытии трубопровода; сигнальные лампы на ограждении</t>
        </is>
      </c>
      <c r="H4" s="27" t="inlineStr">
        <is>
          <t>Существенно</t>
        </is>
      </c>
      <c r="I4" s="25" t="inlineStr">
        <is>
          <t>Справочник ОМГ</t>
        </is>
      </c>
    </row>
    <row r="5" ht="23.25" customHeight="1" s="17">
      <c r="A5" s="25" t="inlineStr">
        <is>
          <t>ZR-5.4</t>
        </is>
      </c>
      <c r="B5" s="25" t="inlineStr">
        <is>
          <t>Земляные работы</t>
        </is>
      </c>
      <c r="C5" s="25" t="inlineStr">
        <is>
          <t>5.4</t>
        </is>
      </c>
      <c r="D5" s="25" t="inlineStr">
        <is>
          <t>Взять пробу воздушной среды</t>
        </is>
      </c>
      <c r="E5" s="28" t="inlineStr">
        <is>
          <t>Условное</t>
        </is>
      </c>
      <c r="F5" s="25" t="inlineStr">
        <is>
          <t>F03</t>
        </is>
      </c>
      <c r="G5" s="25" t="inlineStr">
        <is>
          <t>Анализ воздуха в траншее, шурфе, котловане до спуска людей: место, время, прибор, результат</t>
        </is>
      </c>
      <c r="H5" s="26" t="inlineStr">
        <is>
          <t>Критично</t>
        </is>
      </c>
      <c r="I5" s="25" t="inlineStr">
        <is>
          <t>№ 355, п. 33 (траншеи, шурфы)</t>
        </is>
      </c>
    </row>
    <row r="6" ht="23.25" customHeight="1" s="17">
      <c r="A6" s="25" t="inlineStr">
        <is>
          <t>ZR-5.5</t>
        </is>
      </c>
      <c r="B6" s="25" t="inlineStr">
        <is>
          <t>Земляные работы</t>
        </is>
      </c>
      <c r="C6" s="25" t="inlineStr">
        <is>
          <t>5.5</t>
        </is>
      </c>
      <c r="D6" s="25" t="inlineStr">
        <is>
          <t>Оградить</t>
        </is>
      </c>
      <c r="E6" s="30" t="inlineStr">
        <is>
          <t>Ядро</t>
        </is>
      </c>
      <c r="F6" s="25" t="n"/>
      <c r="G6" s="25" t="inlineStr">
        <is>
          <t>Ограждение выемки высотой не менее 1 м или защитное покрытие; знаки безопасности</t>
        </is>
      </c>
      <c r="H6" s="26" t="inlineStr">
        <is>
          <t>Критично</t>
        </is>
      </c>
      <c r="I6" s="25" t="inlineStr">
        <is>
          <t>№ 355, пп. 28, 128</t>
        </is>
      </c>
    </row>
    <row r="7" ht="34.5" customHeight="1" s="17">
      <c r="A7" s="25" t="inlineStr">
        <is>
          <t>ZR-5.6</t>
        </is>
      </c>
      <c r="B7" s="25" t="inlineStr">
        <is>
          <t>Земляные работы</t>
        </is>
      </c>
      <c r="C7" s="25" t="inlineStr">
        <is>
          <t>5.6</t>
        </is>
      </c>
      <c r="D7" s="25" t="inlineStr">
        <is>
          <t>Меры при работе на высоте и в колодцах</t>
        </is>
      </c>
      <c r="E7" s="28" t="inlineStr">
        <is>
          <t>Условное</t>
        </is>
      </c>
      <c r="F7" s="25" t="inlineStr">
        <is>
          <t>F28</t>
        </is>
      </c>
      <c r="G7" s="25" t="inlineStr">
        <is>
          <t>При глубине ≥ 1,3 м: ограждение бровки, лестницы для спуска и выхода, крепление стенок или откосы</t>
        </is>
      </c>
      <c r="H7" s="26" t="inlineStr">
        <is>
          <t>Критично</t>
        </is>
      </c>
      <c r="I7" s="25" t="inlineStr">
        <is>
          <t>№ 109, п. 2 (высота или глубина ≥ 1,3 м) — трактовку подтвердить; параметры крепления — СН РК 1.03-05-2011 (сверить)</t>
        </is>
      </c>
    </row>
    <row r="8" ht="34.5" customHeight="1" s="17">
      <c r="A8" s="25" t="inlineStr">
        <is>
          <t>ZR-5.7</t>
        </is>
      </c>
      <c r="B8" s="25" t="inlineStr">
        <is>
          <t>Земляные работы</t>
        </is>
      </c>
      <c r="C8" s="25" t="inlineStr">
        <is>
          <t>5.7</t>
        </is>
      </c>
      <c r="D8" s="25" t="inlineStr">
        <is>
          <t>Предупредить</t>
        </is>
      </c>
      <c r="E8" s="30" t="inlineStr">
        <is>
          <t>Ядро</t>
        </is>
      </c>
      <c r="F8" s="25" t="n"/>
      <c r="G8" s="25" t="inlineStr">
        <is>
          <t>Предупреждение/вызов представителей организаций — владельцев коммуникаций; согласование и схема коммуникаций</t>
        </is>
      </c>
      <c r="H8" s="26" t="inlineStr">
        <is>
          <t>Критично</t>
        </is>
      </c>
      <c r="I8" s="25" t="inlineStr">
        <is>
          <t>№ 344 (все земляные работы согласуются, схемы прилагаются)</t>
        </is>
      </c>
    </row>
    <row r="9" ht="23.25" customHeight="1" s="17">
      <c r="A9" s="25" t="inlineStr">
        <is>
          <t>ZR-5.8</t>
        </is>
      </c>
      <c r="B9" s="25" t="inlineStr">
        <is>
          <t>Земляные работы</t>
        </is>
      </c>
      <c r="C9" s="25" t="inlineStr">
        <is>
          <t>5.8</t>
        </is>
      </c>
      <c r="D9" s="25" t="inlineStr">
        <is>
          <t>Меры у железнодорожных путей</t>
        </is>
      </c>
      <c r="E9" s="28" t="inlineStr">
        <is>
          <t>Условное</t>
        </is>
      </c>
      <c r="F9" s="25" t="inlineStr">
        <is>
          <t>F10</t>
        </is>
      </c>
      <c r="G9" s="25" t="inlineStr">
        <is>
          <t>Меры у ж/д путей</t>
        </is>
      </c>
      <c r="H9" s="27" t="inlineStr">
        <is>
          <t>Существенно</t>
        </is>
      </c>
      <c r="I9" s="25" t="inlineStr">
        <is>
          <t>№ 344</t>
        </is>
      </c>
    </row>
    <row r="10" ht="15" customHeight="1" s="17">
      <c r="A10" s="25" t="inlineStr">
        <is>
          <t>ZR-5.9</t>
        </is>
      </c>
      <c r="B10" s="25" t="inlineStr">
        <is>
          <t>Земляные работы</t>
        </is>
      </c>
      <c r="C10" s="25" t="inlineStr">
        <is>
          <t>5.9</t>
        </is>
      </c>
      <c r="D10" s="25" t="inlineStr">
        <is>
          <t>Маршруты к месту работы</t>
        </is>
      </c>
      <c r="E10" s="30" t="inlineStr">
        <is>
          <t>Ядро</t>
        </is>
      </c>
      <c r="F10" s="25" t="n"/>
      <c r="G10" s="25" t="inlineStr">
        <is>
          <t>Маршрут к месту работ; проезды техники; выходы из выемки</t>
        </is>
      </c>
      <c r="H10" s="27" t="inlineStr">
        <is>
          <t>Существенно</t>
        </is>
      </c>
      <c r="I10" s="25" t="inlineStr">
        <is>
          <t>№ 355, п. 30 (освещение подходов)</t>
        </is>
      </c>
    </row>
    <row r="11" ht="34.5" customHeight="1" s="17">
      <c r="A11" s="25" t="inlineStr">
        <is>
          <t>ZR-5.10</t>
        </is>
      </c>
      <c r="B11" s="25" t="inlineStr">
        <is>
          <t>Земляные работы</t>
        </is>
      </c>
      <c r="C11" s="25" t="inlineStr">
        <is>
          <t>5.10</t>
        </is>
      </c>
      <c r="D11" s="25" t="inlineStr">
        <is>
          <t>Дополнительные мероприятия</t>
        </is>
      </c>
      <c r="E11" s="28" t="inlineStr">
        <is>
          <t>Условное</t>
        </is>
      </c>
      <c r="F11" s="25" t="inlineStr">
        <is>
          <t>F29, F36</t>
        </is>
      </c>
      <c r="G11" s="25" t="inlineStr">
        <is>
          <t>Разработка вручную в зоне коммуникаций; техника и отвал грунта не у бровки (параметр); работы в охранной зоне — по согласованию</t>
        </is>
      </c>
      <c r="H11" s="27" t="inlineStr">
        <is>
          <t>Существенно</t>
        </is>
      </c>
      <c r="I11" s="25" t="inlineStr">
        <is>
          <t>СН РК 1.03-05-2011 — сверить</t>
        </is>
      </c>
    </row>
    <row r="12" ht="15" customHeight="1" s="17">
      <c r="A12" s="25" t="inlineStr">
        <is>
          <t>GP-5.1</t>
        </is>
      </c>
      <c r="B12" s="25" t="inlineStr">
        <is>
          <t>Грузоподъемные работы</t>
        </is>
      </c>
      <c r="C12" s="25" t="inlineStr">
        <is>
          <t>5.1</t>
        </is>
      </c>
      <c r="D12" s="25" t="inlineStr">
        <is>
          <t>Остановить</t>
        </is>
      </c>
      <c r="E12" s="28" t="inlineStr">
        <is>
          <t>Условное</t>
        </is>
      </c>
      <c r="F12" s="25" t="inlineStr">
        <is>
          <t>F07, F11, F12</t>
        </is>
      </c>
      <c r="G12" s="25" t="inlineStr">
        <is>
          <t>Остановка СК, других ГПМ и механизмов в зоне</t>
        </is>
      </c>
      <c r="H12" s="27" t="inlineStr">
        <is>
          <t>Существенно</t>
        </is>
      </c>
      <c r="I12" s="25" t="inlineStr">
        <is>
          <t>Справочник ОМГ</t>
        </is>
      </c>
    </row>
    <row r="13" ht="23.25" customHeight="1" s="17">
      <c r="A13" s="25" t="inlineStr">
        <is>
          <t>GP-5.2</t>
        </is>
      </c>
      <c r="B13" s="25" t="inlineStr">
        <is>
          <t>Грузоподъемные работы</t>
        </is>
      </c>
      <c r="C13" s="25" t="inlineStr">
        <is>
          <t>5.2</t>
        </is>
      </c>
      <c r="D13" s="25" t="inlineStr">
        <is>
          <t>Отключить</t>
        </is>
      </c>
      <c r="E13" s="28" t="inlineStr">
        <is>
          <t>Условное</t>
        </is>
      </c>
      <c r="F13" s="25" t="inlineStr">
        <is>
          <t>F02, F08, F09</t>
        </is>
      </c>
      <c r="G13" s="25" t="inlineStr">
        <is>
          <t>При ВЛ ближе 30 м — отдельный НД/согласование; отключение электропривода; сброс давления</t>
        </is>
      </c>
      <c r="H13" s="26" t="inlineStr">
        <is>
          <t>Критично</t>
        </is>
      </c>
      <c r="I13" s="25" t="inlineStr">
        <is>
          <t>Правила ГПМ № 359 (сверить) + № 344</t>
        </is>
      </c>
    </row>
    <row r="14" ht="23.25" customHeight="1" s="17">
      <c r="A14" s="25" t="inlineStr">
        <is>
          <t>GP-5.3</t>
        </is>
      </c>
      <c r="B14" s="25" t="inlineStr">
        <is>
          <t>Грузоподъемные работы</t>
        </is>
      </c>
      <c r="C14" s="25" t="inlineStr">
        <is>
          <t>5.3</t>
        </is>
      </c>
      <c r="D14" s="25" t="inlineStr">
        <is>
          <t>Установить (заглушки, тупики, сигнальные лампы)</t>
        </is>
      </c>
      <c r="E14" s="30" t="inlineStr">
        <is>
          <t>Ядро</t>
        </is>
      </c>
      <c r="F14" s="25" t="n"/>
      <c r="G14" s="25" t="inlineStr">
        <is>
          <t>Установка ГПМ на выносные опоры и подкладки; сигнальные лампы в тёмное время</t>
        </is>
      </c>
      <c r="H14" s="26" t="inlineStr">
        <is>
          <t>Критично</t>
        </is>
      </c>
      <c r="I14" s="25" t="inlineStr">
        <is>
          <t>Справочник ОМГ</t>
        </is>
      </c>
    </row>
    <row r="15" ht="23.25" customHeight="1" s="17">
      <c r="A15" s="25" t="inlineStr">
        <is>
          <t>GP-5.4</t>
        </is>
      </c>
      <c r="B15" s="25" t="inlineStr">
        <is>
          <t>Грузоподъемные работы</t>
        </is>
      </c>
      <c r="C15" s="25" t="inlineStr">
        <is>
          <t>5.4</t>
        </is>
      </c>
      <c r="D15" s="25" t="inlineStr">
        <is>
          <t>Взять пробу воздушной среды</t>
        </is>
      </c>
      <c r="E15" s="28" t="inlineStr">
        <is>
          <t>Условное</t>
        </is>
      </c>
      <c r="F15" s="25" t="inlineStr">
        <is>
          <t>F03</t>
        </is>
      </c>
      <c r="G15" s="25" t="inlineStr">
        <is>
          <t>Анализ воздуха у устья/насосной до начала работ</t>
        </is>
      </c>
      <c r="H15" s="26" t="inlineStr">
        <is>
          <t>Критично</t>
        </is>
      </c>
      <c r="I15" s="25" t="inlineStr">
        <is>
          <t>№ 355, п. 33</t>
        </is>
      </c>
    </row>
    <row r="16" ht="23.25" customHeight="1" s="17">
      <c r="A16" s="25" t="inlineStr">
        <is>
          <t>GP-5.5</t>
        </is>
      </c>
      <c r="B16" s="25" t="inlineStr">
        <is>
          <t>Грузоподъемные работы</t>
        </is>
      </c>
      <c r="C16" s="25" t="inlineStr">
        <is>
          <t>5.5</t>
        </is>
      </c>
      <c r="D16" s="25" t="inlineStr">
        <is>
          <t>Оградить</t>
        </is>
      </c>
      <c r="E16" s="30" t="inlineStr">
        <is>
          <t>Ядро</t>
        </is>
      </c>
      <c r="F16" s="25" t="n"/>
      <c r="G16" s="25" t="inlineStr">
        <is>
          <t>Ограждение опасной зоны; запрет нахождения под грузом и стрелой; плакаты</t>
        </is>
      </c>
      <c r="H16" s="26" t="inlineStr">
        <is>
          <t>Критично</t>
        </is>
      </c>
      <c r="I16" s="25" t="inlineStr">
        <is>
          <t>№ 355, п. 28</t>
        </is>
      </c>
    </row>
    <row r="17" ht="23.25" customHeight="1" s="17">
      <c r="A17" s="25" t="inlineStr">
        <is>
          <t>GP-5.6</t>
        </is>
      </c>
      <c r="B17" s="25" t="inlineStr">
        <is>
          <t>Грузоподъемные работы</t>
        </is>
      </c>
      <c r="C17" s="25" t="inlineStr">
        <is>
          <t>5.6</t>
        </is>
      </c>
      <c r="D17" s="25" t="inlineStr">
        <is>
          <t>Меры при работе на высоте и в колодцах</t>
        </is>
      </c>
      <c r="E17" s="28" t="inlineStr">
        <is>
          <t>Условное</t>
        </is>
      </c>
      <c r="F17" s="25" t="inlineStr">
        <is>
          <t>F05, F14</t>
        </is>
      </c>
      <c r="G17" s="25" t="inlineStr">
        <is>
          <t>Страховка персонала на высоте; разделение работ на высоте и подъёма грузов</t>
        </is>
      </c>
      <c r="H17" s="26" t="inlineStr">
        <is>
          <t>Критично</t>
        </is>
      </c>
      <c r="I17" s="25" t="inlineStr">
        <is>
          <t>№ 109, пп. 9, 80</t>
        </is>
      </c>
    </row>
    <row r="18" ht="23.25" customHeight="1" s="17">
      <c r="A18" s="25" t="inlineStr">
        <is>
          <t>GP-5.7</t>
        </is>
      </c>
      <c r="B18" s="25" t="inlineStr">
        <is>
          <t>Грузоподъемные работы</t>
        </is>
      </c>
      <c r="C18" s="25" t="inlineStr">
        <is>
          <t>5.7</t>
        </is>
      </c>
      <c r="D18" s="25" t="inlineStr">
        <is>
          <t>Предупредить</t>
        </is>
      </c>
      <c r="E18" s="30" t="inlineStr">
        <is>
          <t>Ядро</t>
        </is>
      </c>
      <c r="F18" s="25" t="n"/>
      <c r="G18" s="25" t="inlineStr">
        <is>
          <t>Предупреждение машинистов смежных ГПМ, операторов, диспетчера; запись в журнале</t>
        </is>
      </c>
      <c r="H18" s="27" t="inlineStr">
        <is>
          <t>Существенно</t>
        </is>
      </c>
      <c r="I18" s="25" t="inlineStr">
        <is>
          <t>Справочник ОМГ</t>
        </is>
      </c>
    </row>
    <row r="19" ht="23.25" customHeight="1" s="17">
      <c r="A19" s="25" t="inlineStr">
        <is>
          <t>GP-5.8</t>
        </is>
      </c>
      <c r="B19" s="25" t="inlineStr">
        <is>
          <t>Грузоподъемные работы</t>
        </is>
      </c>
      <c r="C19" s="25" t="inlineStr">
        <is>
          <t>5.8</t>
        </is>
      </c>
      <c r="D19" s="25" t="inlineStr">
        <is>
          <t>Меры у железнодорожных путей</t>
        </is>
      </c>
      <c r="E19" s="28" t="inlineStr">
        <is>
          <t>Условное</t>
        </is>
      </c>
      <c r="F19" s="25" t="inlineStr">
        <is>
          <t>F10</t>
        </is>
      </c>
      <c r="G19" s="25" t="inlineStr">
        <is>
          <t>Меры у ж/д путей</t>
        </is>
      </c>
      <c r="H19" s="27" t="inlineStr">
        <is>
          <t>Существенно</t>
        </is>
      </c>
      <c r="I19" s="25" t="inlineStr">
        <is>
          <t>№ 344</t>
        </is>
      </c>
    </row>
    <row r="20" ht="15" customHeight="1" s="17">
      <c r="A20" s="25" t="inlineStr">
        <is>
          <t>GP-5.9</t>
        </is>
      </c>
      <c r="B20" s="25" t="inlineStr">
        <is>
          <t>Грузоподъемные работы</t>
        </is>
      </c>
      <c r="C20" s="25" t="inlineStr">
        <is>
          <t>5.9</t>
        </is>
      </c>
      <c r="D20" s="25" t="inlineStr">
        <is>
          <t>Маршруты к месту работы</t>
        </is>
      </c>
      <c r="E20" s="30" t="inlineStr">
        <is>
          <t>Ядро</t>
        </is>
      </c>
      <c r="F20" s="25" t="n"/>
      <c r="G20" s="25" t="inlineStr">
        <is>
          <t>Маршруты персонала и техники; проходы к местам строповки</t>
        </is>
      </c>
      <c r="H20" s="27" t="inlineStr">
        <is>
          <t>Существенно</t>
        </is>
      </c>
      <c r="I20" s="25" t="inlineStr">
        <is>
          <t>Справочник ОМГ</t>
        </is>
      </c>
    </row>
    <row r="21" ht="23.25" customHeight="1" s="17">
      <c r="A21" s="25" t="inlineStr">
        <is>
          <t>GP-5.10</t>
        </is>
      </c>
      <c r="B21" s="25" t="inlineStr">
        <is>
          <t>Грузоподъемные работы</t>
        </is>
      </c>
      <c r="C21" s="25" t="inlineStr">
        <is>
          <t>5.10</t>
        </is>
      </c>
      <c r="D21" s="25" t="inlineStr">
        <is>
          <t>Дополнительные мероприятия</t>
        </is>
      </c>
      <c r="E21" s="30" t="inlineStr">
        <is>
          <t>Ядро</t>
        </is>
      </c>
      <c r="F21" s="25" t="n"/>
      <c r="G21" s="25" t="inlineStr">
        <is>
          <t>Связь стропальщик – машинист – производитель; строповка по схеме; проверка ГЗП; стоп при ветре/грозе</t>
        </is>
      </c>
      <c r="H21" s="27" t="inlineStr">
        <is>
          <t>Существенно</t>
        </is>
      </c>
      <c r="I21" s="25" t="inlineStr">
        <is>
          <t>№ 355, п. 39 + справочник</t>
        </is>
      </c>
    </row>
    <row r="22" ht="23.25" customHeight="1" s="17">
      <c r="A22" s="25" t="inlineStr">
        <is>
          <t>ZP-5.1</t>
        </is>
      </c>
      <c r="B22" s="25" t="inlineStr">
        <is>
          <t>Работа в замкнутом пространстве</t>
        </is>
      </c>
      <c r="C22" s="25" t="inlineStr">
        <is>
          <t>5.1</t>
        </is>
      </c>
      <c r="D22" s="25" t="inlineStr">
        <is>
          <t>Остановить</t>
        </is>
      </c>
      <c r="E22" s="30" t="inlineStr">
        <is>
          <t>Ядро</t>
        </is>
      </c>
      <c r="F22" s="25" t="n"/>
      <c r="G22" s="25" t="inlineStr">
        <is>
          <t>Остановка оборудования, мешалок, насосов, связанных с ёмкостью</t>
        </is>
      </c>
      <c r="H22" s="26" t="inlineStr">
        <is>
          <t>Критично</t>
        </is>
      </c>
      <c r="I22" s="25" t="inlineStr">
        <is>
          <t>Справочник ОМГ (наполнить)</t>
        </is>
      </c>
    </row>
    <row r="23" ht="23.25" customHeight="1" s="17">
      <c r="A23" s="25" t="inlineStr">
        <is>
          <t>ZP-5.2</t>
        </is>
      </c>
      <c r="B23" s="25" t="inlineStr">
        <is>
          <t>Работа в замкнутом пространстве</t>
        </is>
      </c>
      <c r="C23" s="25" t="inlineStr">
        <is>
          <t>5.2</t>
        </is>
      </c>
      <c r="D23" s="25" t="inlineStr">
        <is>
          <t>Отключить</t>
        </is>
      </c>
      <c r="E23" s="30" t="inlineStr">
        <is>
          <t>Ядро</t>
        </is>
      </c>
      <c r="F23" s="25" t="n"/>
      <c r="G23" s="25" t="inlineStr">
        <is>
          <t>Отключение электроприводов с плакатами; освобождение от продукта; сброс давления</t>
        </is>
      </c>
      <c r="H23" s="26" t="inlineStr">
        <is>
          <t>Критично</t>
        </is>
      </c>
      <c r="I23" s="25" t="inlineStr">
        <is>
          <t>Справочник ОМГ (наполнить)</t>
        </is>
      </c>
    </row>
    <row r="24" ht="23.25" customHeight="1" s="17">
      <c r="A24" s="25" t="inlineStr">
        <is>
          <t>ZP-5.3</t>
        </is>
      </c>
      <c r="B24" s="25" t="inlineStr">
        <is>
          <t>Работа в замкнутом пространстве</t>
        </is>
      </c>
      <c r="C24" s="25" t="inlineStr">
        <is>
          <t>5.3</t>
        </is>
      </c>
      <c r="D24" s="25" t="inlineStr">
        <is>
          <t>Установить (заглушки, тупики, сигнальные лампы)</t>
        </is>
      </c>
      <c r="E24" s="30" t="inlineStr">
        <is>
          <t>Ядро</t>
        </is>
      </c>
      <c r="F24" s="25" t="n"/>
      <c r="G24" s="25" t="inlineStr">
        <is>
          <t>Заглушки на всех входящих трубопроводах</t>
        </is>
      </c>
      <c r="H24" s="26" t="inlineStr">
        <is>
          <t>Критично</t>
        </is>
      </c>
      <c r="I24" s="25" t="inlineStr">
        <is>
          <t>Справочник ОМГ (наполнить)</t>
        </is>
      </c>
    </row>
    <row r="25" ht="23.25" customHeight="1" s="17">
      <c r="A25" s="25" t="inlineStr">
        <is>
          <t>ZP-5.4</t>
        </is>
      </c>
      <c r="B25" s="25" t="inlineStr">
        <is>
          <t>Работа в замкнутом пространстве</t>
        </is>
      </c>
      <c r="C25" s="25" t="inlineStr">
        <is>
          <t>5.4</t>
        </is>
      </c>
      <c r="D25" s="25" t="inlineStr">
        <is>
          <t>Взять пробу воздушной среды</t>
        </is>
      </c>
      <c r="E25" s="30" t="inlineStr">
        <is>
          <t>Ядро</t>
        </is>
      </c>
      <c r="F25" s="25" t="n"/>
      <c r="G25" s="25" t="inlineStr">
        <is>
          <t>Анализ воздуха внутри до входа и периодически: место, время, прибор, результат; остановка при загазованности</t>
        </is>
      </c>
      <c r="H25" s="26" t="inlineStr">
        <is>
          <t>Критично</t>
        </is>
      </c>
      <c r="I25" s="25" t="inlineStr">
        <is>
          <t>№ 355, п. 33 (изолированные помещения, закрытые ёмкости, колодцы)</t>
        </is>
      </c>
    </row>
    <row r="26" ht="23.25" customHeight="1" s="17">
      <c r="A26" s="25" t="inlineStr">
        <is>
          <t>ZP-5.5</t>
        </is>
      </c>
      <c r="B26" s="25" t="inlineStr">
        <is>
          <t>Работа в замкнутом пространстве</t>
        </is>
      </c>
      <c r="C26" s="25" t="inlineStr">
        <is>
          <t>5.5</t>
        </is>
      </c>
      <c r="D26" s="25" t="inlineStr">
        <is>
          <t>Оградить</t>
        </is>
      </c>
      <c r="E26" s="30" t="inlineStr">
        <is>
          <t>Ядро</t>
        </is>
      </c>
      <c r="F26" s="25" t="n"/>
      <c r="G26" s="25" t="inlineStr">
        <is>
          <t>Ограждение зоны у люка; знаки</t>
        </is>
      </c>
      <c r="H26" s="27" t="inlineStr">
        <is>
          <t>Существенно</t>
        </is>
      </c>
      <c r="I26" s="25" t="inlineStr">
        <is>
          <t>№ 355, п. 28</t>
        </is>
      </c>
    </row>
    <row r="27" ht="23.25" customHeight="1" s="17">
      <c r="A27" s="25" t="inlineStr">
        <is>
          <t>ZP-5.6</t>
        </is>
      </c>
      <c r="B27" s="25" t="inlineStr">
        <is>
          <t>Работа в замкнутом пространстве</t>
        </is>
      </c>
      <c r="C27" s="25" t="inlineStr">
        <is>
          <t>5.6</t>
        </is>
      </c>
      <c r="D27" s="25" t="inlineStr">
        <is>
          <t>Меры при работе на высоте и в колодцах</t>
        </is>
      </c>
      <c r="E27" s="28" t="inlineStr">
        <is>
          <t>Условное</t>
        </is>
      </c>
      <c r="F27" s="25" t="inlineStr">
        <is>
          <t>F06, F16</t>
        </is>
      </c>
      <c r="G27" s="25" t="inlineStr">
        <is>
          <t>Вертикальный вход/колодец: страховочная привязь с сигнально-спасательной верёвкой, средство подъёма</t>
        </is>
      </c>
      <c r="H27" s="26" t="inlineStr">
        <is>
          <t>Критично</t>
        </is>
      </c>
      <c r="I27" s="25" t="inlineStr">
        <is>
          <t>Стандарт ОМГ (сверить)</t>
        </is>
      </c>
    </row>
    <row r="28" ht="23.25" customHeight="1" s="17">
      <c r="A28" s="25" t="inlineStr">
        <is>
          <t>ZP-5.7</t>
        </is>
      </c>
      <c r="B28" s="25" t="inlineStr">
        <is>
          <t>Работа в замкнутом пространстве</t>
        </is>
      </c>
      <c r="C28" s="25" t="inlineStr">
        <is>
          <t>5.7</t>
        </is>
      </c>
      <c r="D28" s="25" t="inlineStr">
        <is>
          <t>Предупредить</t>
        </is>
      </c>
      <c r="E28" s="30" t="inlineStr">
        <is>
          <t>Ядро</t>
        </is>
      </c>
      <c r="F28" s="25" t="n"/>
      <c r="G28" s="25" t="inlineStr">
        <is>
          <t>Предупреждение оператора/диспетчера о работе внутри ёмкости</t>
        </is>
      </c>
      <c r="H28" s="27" t="inlineStr">
        <is>
          <t>Существенно</t>
        </is>
      </c>
      <c r="I28" s="25" t="inlineStr">
        <is>
          <t>Справочник ОМГ</t>
        </is>
      </c>
    </row>
    <row r="29" ht="23.25" customHeight="1" s="17">
      <c r="A29" s="25" t="inlineStr">
        <is>
          <t>ZP-5.8</t>
        </is>
      </c>
      <c r="B29" s="25" t="inlineStr">
        <is>
          <t>Работа в замкнутом пространстве</t>
        </is>
      </c>
      <c r="C29" s="25" t="inlineStr">
        <is>
          <t>5.8</t>
        </is>
      </c>
      <c r="D29" s="25" t="inlineStr">
        <is>
          <t>Меры у железнодорожных путей</t>
        </is>
      </c>
      <c r="E29" s="28" t="inlineStr">
        <is>
          <t>Условное</t>
        </is>
      </c>
      <c r="F29" s="25" t="inlineStr">
        <is>
          <t>F10</t>
        </is>
      </c>
      <c r="G29" s="25" t="inlineStr">
        <is>
          <t>Меры у ж/д путей</t>
        </is>
      </c>
      <c r="H29" s="27" t="inlineStr">
        <is>
          <t>Существенно</t>
        </is>
      </c>
      <c r="I29" s="25" t="inlineStr">
        <is>
          <t>№ 344</t>
        </is>
      </c>
    </row>
    <row r="30" ht="23.25" customHeight="1" s="17">
      <c r="A30" s="25" t="inlineStr">
        <is>
          <t>ZP-5.9</t>
        </is>
      </c>
      <c r="B30" s="25" t="inlineStr">
        <is>
          <t>Работа в замкнутом пространстве</t>
        </is>
      </c>
      <c r="C30" s="25" t="inlineStr">
        <is>
          <t>5.9</t>
        </is>
      </c>
      <c r="D30" s="25" t="inlineStr">
        <is>
          <t>Маршруты к месту работы</t>
        </is>
      </c>
      <c r="E30" s="30" t="inlineStr">
        <is>
          <t>Ядро</t>
        </is>
      </c>
      <c r="F30" s="25" t="n"/>
      <c r="G30" s="25" t="inlineStr">
        <is>
          <t>Маршрут эвакуации из ёмкости и с площадки</t>
        </is>
      </c>
      <c r="H30" s="27" t="inlineStr">
        <is>
          <t>Существенно</t>
        </is>
      </c>
      <c r="I30" s="25" t="inlineStr">
        <is>
          <t>Справочник ОМГ</t>
        </is>
      </c>
    </row>
    <row r="31" ht="23.25" customHeight="1" s="17">
      <c r="A31" s="25" t="inlineStr">
        <is>
          <t>ZP-5.10</t>
        </is>
      </c>
      <c r="B31" s="25" t="inlineStr">
        <is>
          <t>Работа в замкнутом пространстве</t>
        </is>
      </c>
      <c r="C31" s="25" t="inlineStr">
        <is>
          <t>5.10</t>
        </is>
      </c>
      <c r="D31" s="25" t="inlineStr">
        <is>
          <t>Дополнительные мероприятия</t>
        </is>
      </c>
      <c r="E31" s="30" t="inlineStr">
        <is>
          <t>Ядро</t>
        </is>
      </c>
      <c r="F31" s="25" t="n"/>
      <c r="G31" s="25" t="inlineStr">
        <is>
          <t>Наблюдающий снаружи; связь; СИЗОД по стандарту ОМГ; вентиляция; взрывозащищённое освещение и инструмент</t>
        </is>
      </c>
      <c r="H31" s="26" t="inlineStr">
        <is>
          <t>Критично</t>
        </is>
      </c>
      <c r="I31" s="25" t="inlineStr">
        <is>
          <t>Стандарт ОМГ (сверить)</t>
        </is>
      </c>
    </row>
    <row r="32" ht="23.25" customHeight="1" s="17">
      <c r="A32" s="25" t="inlineStr">
        <is>
          <t>DR-5.1</t>
        </is>
      </c>
      <c r="B32" s="25" t="inlineStr">
        <is>
          <t>Другие работы повышенной опасности</t>
        </is>
      </c>
      <c r="C32" s="25" t="inlineStr">
        <is>
          <t>5.1</t>
        </is>
      </c>
      <c r="D32" s="25" t="inlineStr">
        <is>
          <t>Остановить</t>
        </is>
      </c>
      <c r="E32" s="28" t="inlineStr">
        <is>
          <t>Условное</t>
        </is>
      </c>
      <c r="F32" s="25" t="inlineStr">
        <is>
          <t>по описанию</t>
        </is>
      </c>
      <c r="G32" s="25" t="inlineStr">
        <is>
          <t>Определяется по описанию работ (LLM) и справочнику категории</t>
        </is>
      </c>
      <c r="H32" s="27" t="inlineStr">
        <is>
          <t>Существенно</t>
        </is>
      </c>
      <c r="I32" s="25" t="inlineStr">
        <is>
          <t>Справочник ОМГ</t>
        </is>
      </c>
    </row>
    <row r="33" ht="23.25" customHeight="1" s="17">
      <c r="A33" s="25" t="inlineStr">
        <is>
          <t>DR-5.2</t>
        </is>
      </c>
      <c r="B33" s="25" t="inlineStr">
        <is>
          <t>Другие работы повышенной опасности</t>
        </is>
      </c>
      <c r="C33" s="25" t="inlineStr">
        <is>
          <t>5.2</t>
        </is>
      </c>
      <c r="D33" s="25" t="inlineStr">
        <is>
          <t>Отключить</t>
        </is>
      </c>
      <c r="E33" s="28" t="inlineStr">
        <is>
          <t>Условное</t>
        </is>
      </c>
      <c r="F33" s="25" t="inlineStr">
        <is>
          <t>по описанию</t>
        </is>
      </c>
      <c r="G33" s="25" t="inlineStr">
        <is>
          <t>Определяется по описанию работ (LLM) и справочнику категории</t>
        </is>
      </c>
      <c r="H33" s="27" t="inlineStr">
        <is>
          <t>Существенно</t>
        </is>
      </c>
      <c r="I33" s="25" t="inlineStr">
        <is>
          <t>Справочник ОМГ</t>
        </is>
      </c>
    </row>
    <row r="34" ht="23.25" customHeight="1" s="17">
      <c r="A34" s="25" t="inlineStr">
        <is>
          <t>DR-5.3</t>
        </is>
      </c>
      <c r="B34" s="25" t="inlineStr">
        <is>
          <t>Другие работы повышенной опасности</t>
        </is>
      </c>
      <c r="C34" s="25" t="inlineStr">
        <is>
          <t>5.3</t>
        </is>
      </c>
      <c r="D34" s="25" t="inlineStr">
        <is>
          <t>Установить (заглушки, тупики, сигнальные лампы)</t>
        </is>
      </c>
      <c r="E34" s="28" t="inlineStr">
        <is>
          <t>Условное</t>
        </is>
      </c>
      <c r="F34" s="25" t="inlineStr">
        <is>
          <t>по описанию</t>
        </is>
      </c>
      <c r="G34" s="25" t="inlineStr">
        <is>
          <t>Определяется по описанию работ (LLM) и справочнику категории</t>
        </is>
      </c>
      <c r="H34" s="27" t="inlineStr">
        <is>
          <t>Существенно</t>
        </is>
      </c>
      <c r="I34" s="25" t="inlineStr">
        <is>
          <t>Справочник ОМГ</t>
        </is>
      </c>
    </row>
    <row r="35" ht="23.25" customHeight="1" s="17">
      <c r="A35" s="25" t="inlineStr">
        <is>
          <t>DR-5.4</t>
        </is>
      </c>
      <c r="B35" s="25" t="inlineStr">
        <is>
          <t>Другие работы повышенной опасности</t>
        </is>
      </c>
      <c r="C35" s="25" t="inlineStr">
        <is>
          <t>5.4</t>
        </is>
      </c>
      <c r="D35" s="25" t="inlineStr">
        <is>
          <t>Взять пробу воздушной среды</t>
        </is>
      </c>
      <c r="E35" s="28" t="inlineStr">
        <is>
          <t>Условное</t>
        </is>
      </c>
      <c r="F35" s="25" t="inlineStr">
        <is>
          <t>по описанию</t>
        </is>
      </c>
      <c r="G35" s="25" t="inlineStr">
        <is>
          <t>Определяется по описанию работ (LLM) и справочнику категории</t>
        </is>
      </c>
      <c r="H35" s="27" t="inlineStr">
        <is>
          <t>Существенно</t>
        </is>
      </c>
      <c r="I35" s="25" t="inlineStr">
        <is>
          <t>Справочник ОМГ</t>
        </is>
      </c>
    </row>
    <row r="36" ht="23.25" customHeight="1" s="17">
      <c r="A36" s="25" t="inlineStr">
        <is>
          <t>DR-5.5</t>
        </is>
      </c>
      <c r="B36" s="25" t="inlineStr">
        <is>
          <t>Другие работы повышенной опасности</t>
        </is>
      </c>
      <c r="C36" s="25" t="inlineStr">
        <is>
          <t>5.5</t>
        </is>
      </c>
      <c r="D36" s="25" t="inlineStr">
        <is>
          <t>Оградить</t>
        </is>
      </c>
      <c r="E36" s="30" t="inlineStr">
        <is>
          <t>Ядро</t>
        </is>
      </c>
      <c r="F36" s="25" t="n"/>
      <c r="G36" s="25" t="inlineStr">
        <is>
          <t>Ограждение или обозначение опасного участка</t>
        </is>
      </c>
      <c r="H36" s="26" t="inlineStr">
        <is>
          <t>Критично</t>
        </is>
      </c>
      <c r="I36" s="25" t="inlineStr">
        <is>
          <t>№ 355, п. 28</t>
        </is>
      </c>
    </row>
    <row r="37" ht="23.25" customHeight="1" s="17">
      <c r="A37" s="25" t="inlineStr">
        <is>
          <t>DR-5.6</t>
        </is>
      </c>
      <c r="B37" s="25" t="inlineStr">
        <is>
          <t>Другие работы повышенной опасности</t>
        </is>
      </c>
      <c r="C37" s="25" t="inlineStr">
        <is>
          <t>5.6</t>
        </is>
      </c>
      <c r="D37" s="25" t="inlineStr">
        <is>
          <t>Меры при работе на высоте и в колодцах</t>
        </is>
      </c>
      <c r="E37" s="28" t="inlineStr">
        <is>
          <t>Условное</t>
        </is>
      </c>
      <c r="F37" s="25" t="inlineStr">
        <is>
          <t>по описанию</t>
        </is>
      </c>
      <c r="G37" s="25" t="inlineStr">
        <is>
          <t>Определяется по описанию работ (LLM) и справочнику категории</t>
        </is>
      </c>
      <c r="H37" s="27" t="inlineStr">
        <is>
          <t>Существенно</t>
        </is>
      </c>
      <c r="I37" s="25" t="inlineStr">
        <is>
          <t>Справочник ОМГ</t>
        </is>
      </c>
    </row>
    <row r="38" ht="23.25" customHeight="1" s="17">
      <c r="A38" s="25" t="inlineStr">
        <is>
          <t>DR-5.7</t>
        </is>
      </c>
      <c r="B38" s="25" t="inlineStr">
        <is>
          <t>Другие работы повышенной опасности</t>
        </is>
      </c>
      <c r="C38" s="25" t="inlineStr">
        <is>
          <t>5.7</t>
        </is>
      </c>
      <c r="D38" s="25" t="inlineStr">
        <is>
          <t>Предупредить</t>
        </is>
      </c>
      <c r="E38" s="28" t="inlineStr">
        <is>
          <t>Условное</t>
        </is>
      </c>
      <c r="F38" s="25" t="inlineStr">
        <is>
          <t>по описанию</t>
        </is>
      </c>
      <c r="G38" s="25" t="inlineStr">
        <is>
          <t>Определяется по описанию работ (LLM) и справочнику категории</t>
        </is>
      </c>
      <c r="H38" s="27" t="inlineStr">
        <is>
          <t>Существенно</t>
        </is>
      </c>
      <c r="I38" s="25" t="inlineStr">
        <is>
          <t>Справочник ОМГ</t>
        </is>
      </c>
    </row>
    <row r="39" ht="23.25" customHeight="1" s="17">
      <c r="A39" s="25" t="inlineStr">
        <is>
          <t>DR-5.8</t>
        </is>
      </c>
      <c r="B39" s="25" t="inlineStr">
        <is>
          <t>Другие работы повышенной опасности</t>
        </is>
      </c>
      <c r="C39" s="25" t="inlineStr">
        <is>
          <t>5.8</t>
        </is>
      </c>
      <c r="D39" s="25" t="inlineStr">
        <is>
          <t>Меры у железнодорожных путей</t>
        </is>
      </c>
      <c r="E39" s="28" t="inlineStr">
        <is>
          <t>Условное</t>
        </is>
      </c>
      <c r="F39" s="25" t="inlineStr">
        <is>
          <t>по описанию</t>
        </is>
      </c>
      <c r="G39" s="25" t="inlineStr">
        <is>
          <t>Определяется по описанию работ (LLM) и справочнику категории</t>
        </is>
      </c>
      <c r="H39" s="27" t="inlineStr">
        <is>
          <t>Существенно</t>
        </is>
      </c>
      <c r="I39" s="25" t="inlineStr">
        <is>
          <t>Справочник ОМГ</t>
        </is>
      </c>
    </row>
    <row r="40" ht="23.25" customHeight="1" s="17">
      <c r="A40" s="25" t="inlineStr">
        <is>
          <t>DR-5.9</t>
        </is>
      </c>
      <c r="B40" s="25" t="inlineStr">
        <is>
          <t>Другие работы повышенной опасности</t>
        </is>
      </c>
      <c r="C40" s="25" t="inlineStr">
        <is>
          <t>5.9</t>
        </is>
      </c>
      <c r="D40" s="25" t="inlineStr">
        <is>
          <t>Маршруты к месту работы</t>
        </is>
      </c>
      <c r="E40" s="30" t="inlineStr">
        <is>
          <t>Ядро</t>
        </is>
      </c>
      <c r="F40" s="25" t="n"/>
      <c r="G40" s="25" t="inlineStr">
        <is>
          <t>Маршрут к месту работ</t>
        </is>
      </c>
      <c r="H40" s="27" t="inlineStr">
        <is>
          <t>Существенно</t>
        </is>
      </c>
      <c r="I40" s="25" t="inlineStr">
        <is>
          <t>Справочник ОМГ</t>
        </is>
      </c>
    </row>
    <row r="41" ht="23.25" customHeight="1" s="17">
      <c r="A41" s="25" t="inlineStr">
        <is>
          <t>DR-5.10</t>
        </is>
      </c>
      <c r="B41" s="25" t="inlineStr">
        <is>
          <t>Другие работы повышенной опасности</t>
        </is>
      </c>
      <c r="C41" s="25" t="inlineStr">
        <is>
          <t>5.10</t>
        </is>
      </c>
      <c r="D41" s="25" t="inlineStr">
        <is>
          <t>Дополнительные мероприятия</t>
        </is>
      </c>
      <c r="E41" s="28" t="inlineStr">
        <is>
          <t>Условное</t>
        </is>
      </c>
      <c r="F41" s="25" t="inlineStr">
        <is>
          <t>по описанию</t>
        </is>
      </c>
      <c r="G41" s="25" t="inlineStr">
        <is>
          <t>Определяется по описанию работ (LLM) и справочнику категории</t>
        </is>
      </c>
      <c r="H41" s="27" t="inlineStr">
        <is>
          <t>Существенно</t>
        </is>
      </c>
      <c r="I41" s="25" t="inlineStr">
        <is>
          <t>Справочник ОМГ</t>
        </is>
      </c>
    </row>
    <row r="42" ht="23.25" customHeight="1" s="17">
      <c r="A42" s="25" t="inlineStr">
        <is>
          <t>OG-5.1</t>
        </is>
      </c>
      <c r="B42" s="25" t="inlineStr">
        <is>
          <t>Огневые работы</t>
        </is>
      </c>
      <c r="C42" s="25" t="inlineStr">
        <is>
          <t>5.1</t>
        </is>
      </c>
      <c r="D42" s="25" t="inlineStr">
        <is>
          <t>Остановить</t>
        </is>
      </c>
      <c r="E42" s="30" t="inlineStr">
        <is>
          <t>Ядро</t>
        </is>
      </c>
      <c r="F42" s="25" t="n"/>
      <c r="G42" s="25" t="inlineStr">
        <is>
          <t>Остановка оборудования, на котором или рядом с которым ведутся работы</t>
        </is>
      </c>
      <c r="H42" s="26" t="inlineStr">
        <is>
          <t>Критично</t>
        </is>
      </c>
      <c r="I42" s="25" t="inlineStr">
        <is>
          <t>Справочник ОМГ (наполнить)</t>
        </is>
      </c>
    </row>
    <row r="43" ht="15" customHeight="1" s="17">
      <c r="A43" s="25" t="inlineStr">
        <is>
          <t>OG-5.2</t>
        </is>
      </c>
      <c r="B43" s="25" t="inlineStr">
        <is>
          <t>Огневые работы</t>
        </is>
      </c>
      <c r="C43" s="25" t="inlineStr">
        <is>
          <t>5.2</t>
        </is>
      </c>
      <c r="D43" s="25" t="inlineStr">
        <is>
          <t>Отключить</t>
        </is>
      </c>
      <c r="E43" s="30" t="inlineStr">
        <is>
          <t>Ядро</t>
        </is>
      </c>
      <c r="F43" s="25" t="n"/>
      <c r="G43" s="25" t="inlineStr">
        <is>
          <t>Отключение, освобождение от продукта, сброс давления</t>
        </is>
      </c>
      <c r="H43" s="26" t="inlineStr">
        <is>
          <t>Критично</t>
        </is>
      </c>
      <c r="I43" s="25" t="inlineStr">
        <is>
          <t>Справочник ОМГ (наполнить)</t>
        </is>
      </c>
    </row>
    <row r="44" ht="23.25" customHeight="1" s="17">
      <c r="A44" s="25" t="inlineStr">
        <is>
          <t>OG-5.3</t>
        </is>
      </c>
      <c r="B44" s="25" t="inlineStr">
        <is>
          <t>Огневые работы</t>
        </is>
      </c>
      <c r="C44" s="25" t="inlineStr">
        <is>
          <t>5.3</t>
        </is>
      </c>
      <c r="D44" s="25" t="inlineStr">
        <is>
          <t>Установить (заглушки, тупики, сигнальные лампы)</t>
        </is>
      </c>
      <c r="E44" s="28" t="inlineStr">
        <is>
          <t>Условное</t>
        </is>
      </c>
      <c r="F44" s="25" t="inlineStr">
        <is>
          <t>F32</t>
        </is>
      </c>
      <c r="G44" s="25" t="inlineStr">
        <is>
          <t>Заглушки на трубопроводах, связанных с местом работ</t>
        </is>
      </c>
      <c r="H44" s="26" t="inlineStr">
        <is>
          <t>Критично</t>
        </is>
      </c>
      <c r="I44" s="25" t="inlineStr">
        <is>
          <t>Справочник ОМГ (наполнить)</t>
        </is>
      </c>
    </row>
    <row r="45" ht="23.25" customHeight="1" s="17">
      <c r="A45" s="25" t="inlineStr">
        <is>
          <t>OG-5.4</t>
        </is>
      </c>
      <c r="B45" s="25" t="inlineStr">
        <is>
          <t>Огневые работы</t>
        </is>
      </c>
      <c r="C45" s="25" t="inlineStr">
        <is>
          <t>5.4</t>
        </is>
      </c>
      <c r="D45" s="25" t="inlineStr">
        <is>
          <t>Взять пробу воздушной среды</t>
        </is>
      </c>
      <c r="E45" s="28" t="inlineStr">
        <is>
          <t>Условное</t>
        </is>
      </c>
      <c r="F45" s="25" t="inlineStr">
        <is>
          <t>F03</t>
        </is>
      </c>
      <c r="G45" s="25" t="inlineStr">
        <is>
          <t>Анализ воздуха до начала и при перерывах: место, время, прибор, результат</t>
        </is>
      </c>
      <c r="H45" s="26" t="inlineStr">
        <is>
          <t>Критично</t>
        </is>
      </c>
      <c r="I45" s="25" t="inlineStr">
        <is>
          <t>№ 355, п. 33</t>
        </is>
      </c>
    </row>
    <row r="46" ht="23.25" customHeight="1" s="17">
      <c r="A46" s="25" t="inlineStr">
        <is>
          <t>OG-5.5</t>
        </is>
      </c>
      <c r="B46" s="25" t="inlineStr">
        <is>
          <t>Огневые работы</t>
        </is>
      </c>
      <c r="C46" s="25" t="inlineStr">
        <is>
          <t>5.5</t>
        </is>
      </c>
      <c r="D46" s="25" t="inlineStr">
        <is>
          <t>Оградить</t>
        </is>
      </c>
      <c r="E46" s="30" t="inlineStr">
        <is>
          <t>Ядро</t>
        </is>
      </c>
      <c r="F46" s="25" t="n"/>
      <c r="G46" s="25" t="inlineStr">
        <is>
          <t>Ограждение; удаление горючих материалов; не ближе 50 м от мест применения/складирования ЛВЖ и ВВ</t>
        </is>
      </c>
      <c r="H46" s="26" t="inlineStr">
        <is>
          <t>Критично</t>
        </is>
      </c>
      <c r="I46" s="25" t="inlineStr">
        <is>
          <t>№ 355, п. 32</t>
        </is>
      </c>
    </row>
    <row r="47" ht="23.25" customHeight="1" s="17">
      <c r="A47" s="25" t="inlineStr">
        <is>
          <t>OG-5.6</t>
        </is>
      </c>
      <c r="B47" s="25" t="inlineStr">
        <is>
          <t>Огневые работы</t>
        </is>
      </c>
      <c r="C47" s="25" t="inlineStr">
        <is>
          <t>5.6</t>
        </is>
      </c>
      <c r="D47" s="25" t="inlineStr">
        <is>
          <t>Меры при работе на высоте и в колодцах</t>
        </is>
      </c>
      <c r="E47" s="28" t="inlineStr">
        <is>
          <t>Условное</t>
        </is>
      </c>
      <c r="F47" s="25" t="inlineStr">
        <is>
          <t>F16</t>
        </is>
      </c>
      <c r="G47" s="25" t="inlineStr">
        <is>
          <t>Защита от падения искр и огарков вниз; страховка сварщика</t>
        </is>
      </c>
      <c r="H47" s="27" t="inlineStr">
        <is>
          <t>Существенно</t>
        </is>
      </c>
      <c r="I47" s="25" t="inlineStr">
        <is>
          <t>№ 109 + ППБ № 55 гл. 7 (наполнить)</t>
        </is>
      </c>
    </row>
    <row r="48" ht="23.25" customHeight="1" s="17">
      <c r="A48" s="25" t="inlineStr">
        <is>
          <t>OG-5.7</t>
        </is>
      </c>
      <c r="B48" s="25" t="inlineStr">
        <is>
          <t>Огневые работы</t>
        </is>
      </c>
      <c r="C48" s="25" t="inlineStr">
        <is>
          <t>5.7</t>
        </is>
      </c>
      <c r="D48" s="25" t="inlineStr">
        <is>
          <t>Предупредить</t>
        </is>
      </c>
      <c r="E48" s="30" t="inlineStr">
        <is>
          <t>Ядро</t>
        </is>
      </c>
      <c r="F48" s="25" t="n"/>
      <c r="G48" s="25" t="inlineStr">
        <is>
          <t>Предупреждение оператора/смежных цехов; противопожарная служба — по параметру ОМГ</t>
        </is>
      </c>
      <c r="H48" s="27" t="inlineStr">
        <is>
          <t>Существенно</t>
        </is>
      </c>
      <c r="I48" s="25" t="inlineStr">
        <is>
          <t>Параметр ОМГ</t>
        </is>
      </c>
    </row>
    <row r="49" ht="23.25" customHeight="1" s="17">
      <c r="A49" s="25" t="inlineStr">
        <is>
          <t>OG-5.8</t>
        </is>
      </c>
      <c r="B49" s="25" t="inlineStr">
        <is>
          <t>Огневые работы</t>
        </is>
      </c>
      <c r="C49" s="25" t="inlineStr">
        <is>
          <t>5.8</t>
        </is>
      </c>
      <c r="D49" s="25" t="inlineStr">
        <is>
          <t>Меры у железнодорожных путей</t>
        </is>
      </c>
      <c r="E49" s="28" t="inlineStr">
        <is>
          <t>Условное</t>
        </is>
      </c>
      <c r="F49" s="25" t="inlineStr">
        <is>
          <t>F10</t>
        </is>
      </c>
      <c r="G49" s="25" t="inlineStr">
        <is>
          <t>Меры у ж/д путей</t>
        </is>
      </c>
      <c r="H49" s="27" t="inlineStr">
        <is>
          <t>Существенно</t>
        </is>
      </c>
      <c r="I49" s="25" t="inlineStr">
        <is>
          <t>№ 344</t>
        </is>
      </c>
    </row>
    <row r="50" ht="15" customHeight="1" s="17">
      <c r="A50" s="25" t="inlineStr">
        <is>
          <t>OG-5.9</t>
        </is>
      </c>
      <c r="B50" s="25" t="inlineStr">
        <is>
          <t>Огневые работы</t>
        </is>
      </c>
      <c r="C50" s="25" t="inlineStr">
        <is>
          <t>5.9</t>
        </is>
      </c>
      <c r="D50" s="25" t="inlineStr">
        <is>
          <t>Маршруты к месту работы</t>
        </is>
      </c>
      <c r="E50" s="30" t="inlineStr">
        <is>
          <t>Ядро</t>
        </is>
      </c>
      <c r="F50" s="25" t="n"/>
      <c r="G50" s="25" t="inlineStr">
        <is>
          <t>Маршрут к месту работ; пути эвакуации</t>
        </is>
      </c>
      <c r="H50" s="27" t="inlineStr">
        <is>
          <t>Существенно</t>
        </is>
      </c>
      <c r="I50" s="25" t="inlineStr">
        <is>
          <t>Справочник ОМГ</t>
        </is>
      </c>
    </row>
    <row r="51" ht="23.25" customHeight="1" s="17">
      <c r="A51" s="25" t="inlineStr">
        <is>
          <t>OG-5.10</t>
        </is>
      </c>
      <c r="B51" s="25" t="inlineStr">
        <is>
          <t>Огневые работы</t>
        </is>
      </c>
      <c r="C51" s="25" t="inlineStr">
        <is>
          <t>5.10</t>
        </is>
      </c>
      <c r="D51" s="25" t="inlineStr">
        <is>
          <t>Дополнительные мероприятия</t>
        </is>
      </c>
      <c r="E51" s="30" t="inlineStr">
        <is>
          <t>Ядро</t>
        </is>
      </c>
      <c r="F51" s="25" t="n"/>
      <c r="G51" s="25" t="inlineStr">
        <is>
          <t>Средства пожаротушения на месте; исправность и заземление сварочного оборудования; размещение баллонов</t>
        </is>
      </c>
      <c r="H51" s="26" t="inlineStr">
        <is>
          <t>Критично</t>
        </is>
      </c>
      <c r="I51" s="25" t="inlineStr">
        <is>
          <t>№ 355, п. 32 + ППБ № 55 гл. 4–7 (наполнить)</t>
        </is>
      </c>
    </row>
    <row r="52" ht="15" customHeight="1" s="17">
      <c r="A52" s="25" t="inlineStr">
        <is>
          <t>GO-5.1</t>
        </is>
      </c>
      <c r="B52" s="25" t="inlineStr">
        <is>
          <t>Газоопасные работы</t>
        </is>
      </c>
      <c r="C52" s="25" t="inlineStr">
        <is>
          <t>5.1</t>
        </is>
      </c>
      <c r="D52" s="25" t="inlineStr">
        <is>
          <t>Остановить</t>
        </is>
      </c>
      <c r="E52" s="30" t="inlineStr">
        <is>
          <t>Ядро</t>
        </is>
      </c>
      <c r="F52" s="25" t="n"/>
      <c r="G52" s="25" t="inlineStr">
        <is>
          <t>Остановка технологического оборудования</t>
        </is>
      </c>
      <c r="H52" s="26" t="inlineStr">
        <is>
          <t>Критично</t>
        </is>
      </c>
      <c r="I52" s="25" t="inlineStr">
        <is>
          <t>Справочник ОМГ (наполнить)</t>
        </is>
      </c>
    </row>
    <row r="53" ht="23.25" customHeight="1" s="17">
      <c r="A53" s="25" t="inlineStr">
        <is>
          <t>GO-5.2</t>
        </is>
      </c>
      <c r="B53" s="25" t="inlineStr">
        <is>
          <t>Газоопасные работы</t>
        </is>
      </c>
      <c r="C53" s="25" t="inlineStr">
        <is>
          <t>5.2</t>
        </is>
      </c>
      <c r="D53" s="25" t="inlineStr">
        <is>
          <t>Отключить</t>
        </is>
      </c>
      <c r="E53" s="30" t="inlineStr">
        <is>
          <t>Ядро</t>
        </is>
      </c>
      <c r="F53" s="25" t="n"/>
      <c r="G53" s="25" t="inlineStr">
        <is>
          <t>Отключение, сброс давления, освобождение от продукта, продувка</t>
        </is>
      </c>
      <c r="H53" s="26" t="inlineStr">
        <is>
          <t>Критично</t>
        </is>
      </c>
      <c r="I53" s="25" t="inlineStr">
        <is>
          <t>Справочник ОМГ (наполнить)</t>
        </is>
      </c>
    </row>
    <row r="54" ht="23.25" customHeight="1" s="17">
      <c r="A54" s="25" t="inlineStr">
        <is>
          <t>GO-5.3</t>
        </is>
      </c>
      <c r="B54" s="25" t="inlineStr">
        <is>
          <t>Газоопасные работы</t>
        </is>
      </c>
      <c r="C54" s="25" t="inlineStr">
        <is>
          <t>5.3</t>
        </is>
      </c>
      <c r="D54" s="25" t="inlineStr">
        <is>
          <t>Установить (заглушки, тупики, сигнальные лампы)</t>
        </is>
      </c>
      <c r="E54" s="30" t="inlineStr">
        <is>
          <t>Ядро</t>
        </is>
      </c>
      <c r="F54" s="25" t="n"/>
      <c r="G54" s="25" t="inlineStr">
        <is>
          <t>Заглушки; сигнальные лампы</t>
        </is>
      </c>
      <c r="H54" s="26" t="inlineStr">
        <is>
          <t>Критично</t>
        </is>
      </c>
      <c r="I54" s="25" t="inlineStr">
        <is>
          <t>Справочник ОМГ (наполнить)</t>
        </is>
      </c>
    </row>
    <row r="55" ht="34.5" customHeight="1" s="17">
      <c r="A55" s="25" t="inlineStr">
        <is>
          <t>GO-5.4</t>
        </is>
      </c>
      <c r="B55" s="25" t="inlineStr">
        <is>
          <t>Газоопасные работы</t>
        </is>
      </c>
      <c r="C55" s="25" t="inlineStr">
        <is>
          <t>5.4</t>
        </is>
      </c>
      <c r="D55" s="25" t="inlineStr">
        <is>
          <t>Взять пробу воздушной среды</t>
        </is>
      </c>
      <c r="E55" s="30" t="inlineStr">
        <is>
          <t>Ядро</t>
        </is>
      </c>
      <c r="F55" s="25" t="n"/>
      <c r="G55" s="25" t="inlineStr">
        <is>
          <t>Анализ воздуха до начала и в ходе работ: место, время, периодичность, прибор, результат; остановка при загазованности</t>
        </is>
      </c>
      <c r="H55" s="26" t="inlineStr">
        <is>
          <t>Критично</t>
        </is>
      </c>
      <c r="I55" s="25" t="inlineStr">
        <is>
          <t>№ 355, п. 33</t>
        </is>
      </c>
    </row>
    <row r="56" ht="15" customHeight="1" s="17">
      <c r="A56" s="25" t="inlineStr">
        <is>
          <t>GO-5.5</t>
        </is>
      </c>
      <c r="B56" s="25" t="inlineStr">
        <is>
          <t>Газоопасные работы</t>
        </is>
      </c>
      <c r="C56" s="25" t="inlineStr">
        <is>
          <t>5.5</t>
        </is>
      </c>
      <c r="D56" s="25" t="inlineStr">
        <is>
          <t>Оградить</t>
        </is>
      </c>
      <c r="E56" s="30" t="inlineStr">
        <is>
          <t>Ядро</t>
        </is>
      </c>
      <c r="F56" s="25" t="n"/>
      <c r="G56" s="25" t="inlineStr">
        <is>
          <t>Ограждение; знаки и плакаты газоопасной зоны</t>
        </is>
      </c>
      <c r="H56" s="26" t="inlineStr">
        <is>
          <t>Критично</t>
        </is>
      </c>
      <c r="I56" s="25" t="inlineStr">
        <is>
          <t>№ 355, пп. 27–28</t>
        </is>
      </c>
    </row>
    <row r="57" ht="23.25" customHeight="1" s="17">
      <c r="A57" s="25" t="inlineStr">
        <is>
          <t>GO-5.6</t>
        </is>
      </c>
      <c r="B57" s="25" t="inlineStr">
        <is>
          <t>Газоопасные работы</t>
        </is>
      </c>
      <c r="C57" s="25" t="inlineStr">
        <is>
          <t>5.6</t>
        </is>
      </c>
      <c r="D57" s="25" t="inlineStr">
        <is>
          <t>Меры при работе на высоте и в колодцах</t>
        </is>
      </c>
      <c r="E57" s="28" t="inlineStr">
        <is>
          <t>Условное</t>
        </is>
      </c>
      <c r="F57" s="25" t="inlineStr">
        <is>
          <t>F06, F16</t>
        </is>
      </c>
      <c r="G57" s="25" t="inlineStr">
        <is>
          <t>Колодец/высота: страховка, средство подъёма</t>
        </is>
      </c>
      <c r="H57" s="26" t="inlineStr">
        <is>
          <t>Критично</t>
        </is>
      </c>
      <c r="I57" s="25" t="inlineStr">
        <is>
          <t>№ 109 + стандарт ОМГ</t>
        </is>
      </c>
    </row>
    <row r="58" ht="23.25" customHeight="1" s="17">
      <c r="A58" s="25" t="inlineStr">
        <is>
          <t>GO-5.7</t>
        </is>
      </c>
      <c r="B58" s="25" t="inlineStr">
        <is>
          <t>Газоопасные работы</t>
        </is>
      </c>
      <c r="C58" s="25" t="inlineStr">
        <is>
          <t>5.7</t>
        </is>
      </c>
      <c r="D58" s="25" t="inlineStr">
        <is>
          <t>Предупредить</t>
        </is>
      </c>
      <c r="E58" s="30" t="inlineStr">
        <is>
          <t>Ядро</t>
        </is>
      </c>
      <c r="F58" s="25" t="n"/>
      <c r="G58" s="25" t="inlineStr">
        <is>
          <t>Предупреждение оператора, диспетчера, смежных подразделений</t>
        </is>
      </c>
      <c r="H58" s="27" t="inlineStr">
        <is>
          <t>Существенно</t>
        </is>
      </c>
      <c r="I58" s="25" t="inlineStr">
        <is>
          <t>Справочник ОМГ</t>
        </is>
      </c>
    </row>
    <row r="59" ht="23.25" customHeight="1" s="17">
      <c r="A59" s="25" t="inlineStr">
        <is>
          <t>GO-5.8</t>
        </is>
      </c>
      <c r="B59" s="25" t="inlineStr">
        <is>
          <t>Газоопасные работы</t>
        </is>
      </c>
      <c r="C59" s="25" t="inlineStr">
        <is>
          <t>5.8</t>
        </is>
      </c>
      <c r="D59" s="25" t="inlineStr">
        <is>
          <t>Меры у железнодорожных путей</t>
        </is>
      </c>
      <c r="E59" s="28" t="inlineStr">
        <is>
          <t>Условное</t>
        </is>
      </c>
      <c r="F59" s="25" t="inlineStr">
        <is>
          <t>F10</t>
        </is>
      </c>
      <c r="G59" s="25" t="inlineStr">
        <is>
          <t>Меры у ж/д путей</t>
        </is>
      </c>
      <c r="H59" s="27" t="inlineStr">
        <is>
          <t>Существенно</t>
        </is>
      </c>
      <c r="I59" s="25" t="inlineStr">
        <is>
          <t>№ 344</t>
        </is>
      </c>
    </row>
    <row r="60" ht="23.25" customHeight="1" s="17">
      <c r="A60" s="25" t="inlineStr">
        <is>
          <t>GO-5.9</t>
        </is>
      </c>
      <c r="B60" s="25" t="inlineStr">
        <is>
          <t>Газоопасные работы</t>
        </is>
      </c>
      <c r="C60" s="25" t="inlineStr">
        <is>
          <t>5.9</t>
        </is>
      </c>
      <c r="D60" s="25" t="inlineStr">
        <is>
          <t>Маршруты к месту работы</t>
        </is>
      </c>
      <c r="E60" s="30" t="inlineStr">
        <is>
          <t>Ядро</t>
        </is>
      </c>
      <c r="F60" s="25" t="n"/>
      <c r="G60" s="25" t="inlineStr">
        <is>
          <t>Маршрут эвакуации с учётом направления ветра</t>
        </is>
      </c>
      <c r="H60" s="27" t="inlineStr">
        <is>
          <t>Существенно</t>
        </is>
      </c>
      <c r="I60" s="25" t="inlineStr">
        <is>
          <t>№ 355, п. 26 (схема маршрутов и направлений распространения H2S)</t>
        </is>
      </c>
    </row>
    <row r="61" ht="23.25" customHeight="1" s="17">
      <c r="A61" s="25" t="inlineStr">
        <is>
          <t>GO-5.10</t>
        </is>
      </c>
      <c r="B61" s="25" t="inlineStr">
        <is>
          <t>Газоопасные работы</t>
        </is>
      </c>
      <c r="C61" s="25" t="inlineStr">
        <is>
          <t>5.10</t>
        </is>
      </c>
      <c r="D61" s="25" t="inlineStr">
        <is>
          <t>Дополнительные мероприятия</t>
        </is>
      </c>
      <c r="E61" s="30" t="inlineStr">
        <is>
          <t>Ядро</t>
        </is>
      </c>
      <c r="F61" s="25" t="n"/>
      <c r="G61" s="25" t="inlineStr">
        <is>
          <t>СИЗОД; наблюдающий; двусторонняя связь; искробезопасный инструмент</t>
        </is>
      </c>
      <c r="H61" s="26" t="inlineStr">
        <is>
          <t>Критично</t>
        </is>
      </c>
      <c r="I61" s="25" t="inlineStr">
        <is>
          <t>№ 355, п. 39 + стандарт ОМГ</t>
        </is>
      </c>
    </row>
    <row r="62" ht="15" customHeight="1" s="17">
      <c r="A62" s="25" t="inlineStr">
        <is>
          <t>VS-5.1</t>
        </is>
      </c>
      <c r="B62" s="25" t="inlineStr">
        <is>
          <t>Работы на высоте</t>
        </is>
      </c>
      <c r="C62" s="25" t="inlineStr">
        <is>
          <t>5.1</t>
        </is>
      </c>
      <c r="D62" s="25" t="inlineStr">
        <is>
          <t>Остановить</t>
        </is>
      </c>
      <c r="E62" s="28" t="inlineStr">
        <is>
          <t>Условное</t>
        </is>
      </c>
      <c r="F62" s="25" t="inlineStr">
        <is>
          <t>F01, F07, F08</t>
        </is>
      </c>
      <c r="G62" s="25" t="inlineStr">
        <is>
          <t>Остановка механизмов, СК, ГПМ в зоне работ</t>
        </is>
      </c>
      <c r="H62" s="27" t="inlineStr">
        <is>
          <t>Существенно</t>
        </is>
      </c>
      <c r="I62" s="25" t="inlineStr">
        <is>
          <t>Справочник ОМГ</t>
        </is>
      </c>
    </row>
    <row r="63" ht="15" customHeight="1" s="17">
      <c r="A63" s="25" t="inlineStr">
        <is>
          <t>VS-5.2</t>
        </is>
      </c>
      <c r="B63" s="25" t="inlineStr">
        <is>
          <t>Работы на высоте</t>
        </is>
      </c>
      <c r="C63" s="25" t="inlineStr">
        <is>
          <t>5.2</t>
        </is>
      </c>
      <c r="D63" s="25" t="inlineStr">
        <is>
          <t>Отключить</t>
        </is>
      </c>
      <c r="E63" s="28" t="inlineStr">
        <is>
          <t>Условное</t>
        </is>
      </c>
      <c r="F63" s="25" t="inlineStr">
        <is>
          <t>F09, F02</t>
        </is>
      </c>
      <c r="G63" s="25" t="inlineStr">
        <is>
          <t>Отключение электрооборудования; ВЛ — отдельный НД</t>
        </is>
      </c>
      <c r="H63" s="26" t="inlineStr">
        <is>
          <t>Критично</t>
        </is>
      </c>
      <c r="I63" s="25" t="inlineStr">
        <is>
          <t>№ 344</t>
        </is>
      </c>
    </row>
    <row r="64" ht="23.25" customHeight="1" s="17">
      <c r="A64" s="25" t="inlineStr">
        <is>
          <t>VS-5.3</t>
        </is>
      </c>
      <c r="B64" s="25" t="inlineStr">
        <is>
          <t>Работы на высоте</t>
        </is>
      </c>
      <c r="C64" s="25" t="inlineStr">
        <is>
          <t>5.3</t>
        </is>
      </c>
      <c r="D64" s="25" t="inlineStr">
        <is>
          <t>Установить (заглушки, тупики, сигнальные лампы)</t>
        </is>
      </c>
      <c r="E64" s="30" t="inlineStr">
        <is>
          <t>Ядро</t>
        </is>
      </c>
      <c r="F64" s="25" t="n"/>
      <c r="G64" s="25" t="inlineStr">
        <is>
          <t>Плакаты на пусковых устройствах; сигнальные лампы в тёмное время</t>
        </is>
      </c>
      <c r="H64" s="27" t="inlineStr">
        <is>
          <t>Существенно</t>
        </is>
      </c>
      <c r="I64" s="25" t="inlineStr">
        <is>
          <t>Справочник ОМГ</t>
        </is>
      </c>
    </row>
    <row r="65" ht="23.25" customHeight="1" s="17">
      <c r="A65" s="25" t="inlineStr">
        <is>
          <t>VS-5.4</t>
        </is>
      </c>
      <c r="B65" s="25" t="inlineStr">
        <is>
          <t>Работы на высоте</t>
        </is>
      </c>
      <c r="C65" s="25" t="inlineStr">
        <is>
          <t>5.4</t>
        </is>
      </c>
      <c r="D65" s="25" t="inlineStr">
        <is>
          <t>Взять пробу воздушной среды</t>
        </is>
      </c>
      <c r="E65" s="28" t="inlineStr">
        <is>
          <t>Условное</t>
        </is>
      </c>
      <c r="F65" s="25" t="inlineStr">
        <is>
          <t>F03</t>
        </is>
      </c>
      <c r="G65" s="25" t="inlineStr">
        <is>
          <t>Анализ воздуха при газоопасной зоне</t>
        </is>
      </c>
      <c r="H65" s="26" t="inlineStr">
        <is>
          <t>Критично</t>
        </is>
      </c>
      <c r="I65" s="25" t="inlineStr">
        <is>
          <t>№ 355, п. 33</t>
        </is>
      </c>
    </row>
    <row r="66" ht="23.25" customHeight="1" s="17">
      <c r="A66" s="25" t="inlineStr">
        <is>
          <t>VS-5.5</t>
        </is>
      </c>
      <c r="B66" s="25" t="inlineStr">
        <is>
          <t>Работы на высоте</t>
        </is>
      </c>
      <c r="C66" s="25" t="inlineStr">
        <is>
          <t>5.5</t>
        </is>
      </c>
      <c r="D66" s="25" t="inlineStr">
        <is>
          <t>Оградить</t>
        </is>
      </c>
      <c r="E66" s="30" t="inlineStr">
        <is>
          <t>Ядро</t>
        </is>
      </c>
      <c r="F66" s="25" t="n"/>
      <c r="G66" s="25" t="inlineStr">
        <is>
          <t>Ограждение зоны возможного падения предметов с радиусом по высоте; плакаты «Стой! Опасная зона!» и др.</t>
        </is>
      </c>
      <c r="H66" s="26" t="inlineStr">
        <is>
          <t>Критично</t>
        </is>
      </c>
      <c r="I66" s="25" t="inlineStr">
        <is>
          <t>№ 109, пп. 77–78</t>
        </is>
      </c>
    </row>
    <row r="67" ht="23.25" customHeight="1" s="17">
      <c r="A67" s="25" t="inlineStr">
        <is>
          <t>VS-5.6</t>
        </is>
      </c>
      <c r="B67" s="25" t="inlineStr">
        <is>
          <t>Работы на высоте</t>
        </is>
      </c>
      <c r="C67" s="25" t="inlineStr">
        <is>
          <t>5.6</t>
        </is>
      </c>
      <c r="D67" s="25" t="inlineStr">
        <is>
          <t>Меры при работе на высоте и в колодцах</t>
        </is>
      </c>
      <c r="E67" s="30" t="inlineStr">
        <is>
          <t>Ядро</t>
        </is>
      </c>
      <c r="F67" s="25" t="n"/>
      <c r="G67" s="25" t="inlineStr">
        <is>
          <t>Способ страховки и точки закрепления; рабочее место (площадка, лестница, люлька); аварийный запас снаряжения</t>
        </is>
      </c>
      <c r="H67" s="26" t="inlineStr">
        <is>
          <t>Критично</t>
        </is>
      </c>
      <c r="I67" s="25" t="inlineStr">
        <is>
          <t>№ 109, пп. 3, 9, 24</t>
        </is>
      </c>
    </row>
    <row r="68" ht="23.25" customHeight="1" s="17">
      <c r="A68" s="25" t="inlineStr">
        <is>
          <t>VS-5.7</t>
        </is>
      </c>
      <c r="B68" s="25" t="inlineStr">
        <is>
          <t>Работы на высоте</t>
        </is>
      </c>
      <c r="C68" s="25" t="inlineStr">
        <is>
          <t>5.7</t>
        </is>
      </c>
      <c r="D68" s="25" t="inlineStr">
        <is>
          <t>Предупредить</t>
        </is>
      </c>
      <c r="E68" s="28" t="inlineStr">
        <is>
          <t>Условное</t>
        </is>
      </c>
      <c r="F68" s="25" t="inlineStr">
        <is>
          <t>F01, F12</t>
        </is>
      </c>
      <c r="G68" s="25" t="inlineStr">
        <is>
          <t>Предупреждение машинистов ГПМ и операторов спецтехники; ГПМ не въезжают в зону</t>
        </is>
      </c>
      <c r="H68" s="26" t="inlineStr">
        <is>
          <t>Критично</t>
        </is>
      </c>
      <c r="I68" s="25" t="inlineStr">
        <is>
          <t>№ 109, п. 80</t>
        </is>
      </c>
    </row>
    <row r="69" ht="23.25" customHeight="1" s="17">
      <c r="A69" s="25" t="inlineStr">
        <is>
          <t>VS-5.8</t>
        </is>
      </c>
      <c r="B69" s="25" t="inlineStr">
        <is>
          <t>Работы на высоте</t>
        </is>
      </c>
      <c r="C69" s="25" t="inlineStr">
        <is>
          <t>5.8</t>
        </is>
      </c>
      <c r="D69" s="25" t="inlineStr">
        <is>
          <t>Меры у железнодорожных путей</t>
        </is>
      </c>
      <c r="E69" s="28" t="inlineStr">
        <is>
          <t>Условное</t>
        </is>
      </c>
      <c r="F69" s="25" t="inlineStr">
        <is>
          <t>F10</t>
        </is>
      </c>
      <c r="G69" s="25" t="inlineStr">
        <is>
          <t>Меры у ж/д путей</t>
        </is>
      </c>
      <c r="H69" s="27" t="inlineStr">
        <is>
          <t>Существенно</t>
        </is>
      </c>
      <c r="I69" s="25" t="inlineStr">
        <is>
          <t>№ 344</t>
        </is>
      </c>
    </row>
    <row r="70" ht="15" customHeight="1" s="17">
      <c r="A70" s="25" t="inlineStr">
        <is>
          <t>VS-5.9</t>
        </is>
      </c>
      <c r="B70" s="25" t="inlineStr">
        <is>
          <t>Работы на высоте</t>
        </is>
      </c>
      <c r="C70" s="25" t="inlineStr">
        <is>
          <t>5.9</t>
        </is>
      </c>
      <c r="D70" s="25" t="inlineStr">
        <is>
          <t>Маршруты к месту работы</t>
        </is>
      </c>
      <c r="E70" s="30" t="inlineStr">
        <is>
          <t>Ядро</t>
        </is>
      </c>
      <c r="F70" s="25" t="n"/>
      <c r="G70" s="25" t="inlineStr">
        <is>
          <t>Маршрут подъёма; освещение в тёмное время</t>
        </is>
      </c>
      <c r="H70" s="27" t="inlineStr">
        <is>
          <t>Существенно</t>
        </is>
      </c>
      <c r="I70" s="25" t="inlineStr">
        <is>
          <t>№ 355, п. 30</t>
        </is>
      </c>
    </row>
    <row r="71" ht="23.25" customHeight="1" s="17">
      <c r="A71" s="25" t="inlineStr">
        <is>
          <t>VS-5.10</t>
        </is>
      </c>
      <c r="B71" s="25" t="inlineStr">
        <is>
          <t>Работы на высоте</t>
        </is>
      </c>
      <c r="C71" s="25" t="inlineStr">
        <is>
          <t>5.10</t>
        </is>
      </c>
      <c r="D71" s="25" t="inlineStr">
        <is>
          <t>Дополнительные мероприятия</t>
        </is>
      </c>
      <c r="E71" s="30" t="inlineStr">
        <is>
          <t>Ядро</t>
        </is>
      </c>
      <c r="F71" s="25" t="n"/>
      <c r="G71" s="25" t="inlineStr">
        <is>
          <t>Стоп-условия: видимость, осадки, гроза, ветер ≥ 15 м/с; связь в бригаде; инструмент в сумках, &gt; 10 кг — независимая страховка</t>
        </is>
      </c>
      <c r="H71" s="27" t="inlineStr">
        <is>
          <t>Существенно</t>
        </is>
      </c>
      <c r="I71" s="25" t="inlineStr">
        <is>
          <t>№ 109, пп. 4, 7, 85–86</t>
        </is>
      </c>
    </row>
  </sheetData>
  <autoFilter ref="A1:I7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16" min="1" max="1"/>
    <col width="26" customWidth="1" style="16" min="2" max="2"/>
    <col width="60" customWidth="1" style="16" min="3" max="3"/>
    <col width="16" customWidth="1" style="16" min="4" max="4"/>
    <col width="13" customWidth="1" style="16" min="5" max="5"/>
    <col width="45" customWidth="1" style="16" min="6" max="6"/>
  </cols>
  <sheetData>
    <row r="1" ht="30" customHeight="1" s="17">
      <c r="A1" s="24" t="inlineStr">
        <is>
          <t>ID</t>
        </is>
      </c>
      <c r="B1" s="24" t="inlineStr">
        <is>
          <t>Категория</t>
        </is>
      </c>
      <c r="C1" s="24" t="inlineStr">
        <is>
          <t>Проверка</t>
        </is>
      </c>
      <c r="D1" s="24" t="inlineStr">
        <is>
          <t>Исполнитель</t>
        </is>
      </c>
      <c r="E1" s="24" t="inlineStr">
        <is>
          <t>Критичность</t>
        </is>
      </c>
      <c r="F1" s="24" t="inlineStr">
        <is>
          <t>Основание</t>
        </is>
      </c>
    </row>
    <row r="2" ht="23.25" customHeight="1" s="17">
      <c r="A2" s="25" t="inlineStr">
        <is>
          <t>ZR-01</t>
        </is>
      </c>
      <c r="B2" s="25" t="inlineStr">
        <is>
          <t>Земляные работы</t>
        </is>
      </c>
      <c r="C2" s="25" t="inlineStr">
        <is>
          <t>Флаг «Согласование со смежными цехами/участками» = Да; в 5.7 указано согласование с владельцами коммуникаций</t>
        </is>
      </c>
      <c r="D2" s="25" t="inlineStr">
        <is>
          <t>Код</t>
        </is>
      </c>
      <c r="E2" s="26" t="inlineStr">
        <is>
          <t>Критично</t>
        </is>
      </c>
      <c r="F2" s="25" t="inlineStr">
        <is>
          <t>№ 344: все земляные работы предварительно согласуются с обслуживающими организациями</t>
        </is>
      </c>
    </row>
    <row r="3" ht="15" customHeight="1" s="17">
      <c r="A3" s="25" t="inlineStr">
        <is>
          <t>ZR-02</t>
        </is>
      </c>
      <c r="B3" s="25" t="inlineStr">
        <is>
          <t>Земляные работы</t>
        </is>
      </c>
      <c r="C3" s="25" t="inlineStr">
        <is>
          <t>Есть ссылка на схему коммуникаций во вложениях</t>
        </is>
      </c>
      <c r="D3" s="25" t="inlineStr">
        <is>
          <t>Код (вложения)</t>
        </is>
      </c>
      <c r="E3" s="27" t="inlineStr">
        <is>
          <t>Существенно</t>
        </is>
      </c>
      <c r="F3" s="25" t="inlineStr">
        <is>
          <t>№ 344: схемы прилагаются к НД</t>
        </is>
      </c>
    </row>
    <row r="4" ht="15" customHeight="1" s="17">
      <c r="A4" s="25" t="inlineStr">
        <is>
          <t>ZR-03</t>
        </is>
      </c>
      <c r="B4" s="25" t="inlineStr">
        <is>
          <t>Земляные работы</t>
        </is>
      </c>
      <c r="C4" s="25" t="inlineStr">
        <is>
          <t>Ограждение выемки ≥ 1 м или защитное покрытие</t>
        </is>
      </c>
      <c r="D4" s="25" t="inlineStr">
        <is>
          <t>Код + LLM</t>
        </is>
      </c>
      <c r="E4" s="26" t="inlineStr">
        <is>
          <t>Критично</t>
        </is>
      </c>
      <c r="F4" s="25" t="inlineStr">
        <is>
          <t>№ 355, п. 128</t>
        </is>
      </c>
    </row>
    <row r="5" ht="23.25" customHeight="1" s="17">
      <c r="A5" s="25" t="inlineStr">
        <is>
          <t>ZR-04</t>
        </is>
      </c>
      <c r="B5" s="25" t="inlineStr">
        <is>
          <t>Земляные работы</t>
        </is>
      </c>
      <c r="C5" s="25" t="inlineStr">
        <is>
          <t>При F03 или шурфе/траншее на объекте с газом — анализ воздуха до спуска людей</t>
        </is>
      </c>
      <c r="D5" s="25" t="inlineStr">
        <is>
          <t>Код</t>
        </is>
      </c>
      <c r="E5" s="26" t="inlineStr">
        <is>
          <t>Критично</t>
        </is>
      </c>
      <c r="F5" s="25" t="inlineStr">
        <is>
          <t>№ 355, п. 33</t>
        </is>
      </c>
    </row>
    <row r="6" ht="23.25" customHeight="1" s="17">
      <c r="A6" s="25" t="inlineStr">
        <is>
          <t>ZR-05</t>
        </is>
      </c>
      <c r="B6" s="25" t="inlineStr">
        <is>
          <t>Земляные работы</t>
        </is>
      </c>
      <c r="C6" s="25" t="inlineStr">
        <is>
          <t>При глубине сверх допустимой без крепления — крепление стенок или откосы</t>
        </is>
      </c>
      <c r="D6" s="25" t="inlineStr">
        <is>
          <t>Код (параметр) + LLM</t>
        </is>
      </c>
      <c r="E6" s="26" t="inlineStr">
        <is>
          <t>Критично</t>
        </is>
      </c>
      <c r="F6" s="25" t="inlineStr">
        <is>
          <t>СН РК 1.03-05-2011 — сверить пороги</t>
        </is>
      </c>
    </row>
    <row r="7" ht="23.25" customHeight="1" s="17">
      <c r="A7" s="25" t="inlineStr">
        <is>
          <t>ZR-06</t>
        </is>
      </c>
      <c r="B7" s="25" t="inlineStr">
        <is>
          <t>Земляные работы</t>
        </is>
      </c>
      <c r="C7" s="25" t="inlineStr">
        <is>
          <t>При F27 — ручная разработка в зоне коммуникаций, присутствие представителя владельца</t>
        </is>
      </c>
      <c r="D7" s="25" t="inlineStr">
        <is>
          <t>LLM</t>
        </is>
      </c>
      <c r="E7" s="26" t="inlineStr">
        <is>
          <t>Критично</t>
        </is>
      </c>
      <c r="F7" s="25" t="inlineStr">
        <is>
          <t>Практика + стандарт ОМГ — сверить</t>
        </is>
      </c>
    </row>
    <row r="8" ht="23.25" customHeight="1" s="17">
      <c r="A8" s="25" t="inlineStr">
        <is>
          <t>ZR-07</t>
        </is>
      </c>
      <c r="B8" s="25" t="inlineStr">
        <is>
          <t>Земляные работы</t>
        </is>
      </c>
      <c r="C8" s="25" t="inlineStr">
        <is>
          <t>Опасности «обрушение грунта», «повреждение коммуникаций» есть в рисках</t>
        </is>
      </c>
      <c r="D8" s="25" t="inlineStr">
        <is>
          <t>Код</t>
        </is>
      </c>
      <c r="E8" s="27" t="inlineStr">
        <is>
          <t>Существенно</t>
        </is>
      </c>
      <c r="F8" s="25" t="inlineStr">
        <is>
          <t>Справочник рисков</t>
        </is>
      </c>
    </row>
    <row r="9" ht="15" customHeight="1" s="17">
      <c r="A9" s="25" t="inlineStr">
        <is>
          <t>GP-01</t>
        </is>
      </c>
      <c r="B9" s="25" t="inlineStr">
        <is>
          <t>Грузоподъемные работы</t>
        </is>
      </c>
      <c r="C9" s="25" t="inlineStr">
        <is>
          <t>ВЛ ближе 30 м (F02) → флаг согласования = Да и отдельный НД</t>
        </is>
      </c>
      <c r="D9" s="25" t="inlineStr">
        <is>
          <t>Код</t>
        </is>
      </c>
      <c r="E9" s="26" t="inlineStr">
        <is>
          <t>Критично</t>
        </is>
      </c>
      <c r="F9" s="25" t="inlineStr">
        <is>
          <t>Правила ГПМ № 359 — сверить пункт; № 344</t>
        </is>
      </c>
    </row>
    <row r="10" ht="15" customHeight="1" s="17">
      <c r="A10" s="25" t="inlineStr">
        <is>
          <t>GP-02</t>
        </is>
      </c>
      <c r="B10" s="25" t="inlineStr">
        <is>
          <t>Грузоподъемные работы</t>
        </is>
      </c>
      <c r="C10" s="25" t="inlineStr">
        <is>
          <t>Запрет нахождения под грузом и стрелой указан</t>
        </is>
      </c>
      <c r="D10" s="25" t="inlineStr">
        <is>
          <t>Код + LLM</t>
        </is>
      </c>
      <c r="E10" s="26" t="inlineStr">
        <is>
          <t>Критично</t>
        </is>
      </c>
      <c r="F10" s="25" t="inlineStr">
        <is>
          <t>Справочник ОМГ</t>
        </is>
      </c>
    </row>
    <row r="11" ht="15" customHeight="1" s="17">
      <c r="A11" s="25" t="inlineStr">
        <is>
          <t>GP-03</t>
        </is>
      </c>
      <c r="B11" s="25" t="inlineStr">
        <is>
          <t>Грузоподъемные работы</t>
        </is>
      </c>
      <c r="C11" s="25" t="inlineStr">
        <is>
          <t>Совмещение с работой на высоте (F05) → разделение по времени</t>
        </is>
      </c>
      <c r="D11" s="25" t="inlineStr">
        <is>
          <t>Код</t>
        </is>
      </c>
      <c r="E11" s="26" t="inlineStr">
        <is>
          <t>Критично</t>
        </is>
      </c>
      <c r="F11" s="25" t="inlineStr">
        <is>
          <t>№ 109, п. 80</t>
        </is>
      </c>
    </row>
    <row r="12" ht="15" customHeight="1" s="17">
      <c r="A12" s="25" t="inlineStr">
        <is>
          <t>GP-04</t>
        </is>
      </c>
      <c r="B12" s="25" t="inlineStr">
        <is>
          <t>Грузоподъемные работы</t>
        </is>
      </c>
      <c r="C12" s="25" t="inlineStr">
        <is>
          <t>Связь стропальщик – машинист – производитель</t>
        </is>
      </c>
      <c r="D12" s="25" t="inlineStr">
        <is>
          <t>Код + LLM</t>
        </is>
      </c>
      <c r="E12" s="27" t="inlineStr">
        <is>
          <t>Существенно</t>
        </is>
      </c>
      <c r="F12" s="25" t="inlineStr">
        <is>
          <t>№ 355, п. 39</t>
        </is>
      </c>
    </row>
    <row r="13" ht="15" customHeight="1" s="17">
      <c r="A13" s="25" t="inlineStr">
        <is>
          <t>GP-05</t>
        </is>
      </c>
      <c r="B13" s="25" t="inlineStr">
        <is>
          <t>Грузоподъемные работы</t>
        </is>
      </c>
      <c r="C13" s="25" t="inlineStr">
        <is>
          <t>При указании радиуса опасной зоны — значение в метрах</t>
        </is>
      </c>
      <c r="D13" s="25" t="inlineStr">
        <is>
          <t>Код (S14)</t>
        </is>
      </c>
      <c r="E13" s="27" t="inlineStr">
        <is>
          <t>Существенно</t>
        </is>
      </c>
      <c r="F13" s="25" t="inlineStr">
        <is>
          <t>—</t>
        </is>
      </c>
    </row>
    <row r="14" ht="23.25" customHeight="1" s="17">
      <c r="A14" s="25" t="inlineStr">
        <is>
          <t>ZP-01</t>
        </is>
      </c>
      <c r="B14" s="25" t="inlineStr">
        <is>
          <t>Работа в замкнутом пространстве</t>
        </is>
      </c>
      <c r="C14" s="25" t="inlineStr">
        <is>
          <t>Флаг «Контроль газо-воздушной среды» = Да</t>
        </is>
      </c>
      <c r="D14" s="25" t="inlineStr">
        <is>
          <t>Код</t>
        </is>
      </c>
      <c r="E14" s="26" t="inlineStr">
        <is>
          <t>Критично</t>
        </is>
      </c>
      <c r="F14" s="25" t="inlineStr">
        <is>
          <t>№ 355, п. 33</t>
        </is>
      </c>
    </row>
    <row r="15" ht="23.25" customHeight="1" s="17">
      <c r="A15" s="25" t="inlineStr">
        <is>
          <t>ZP-02</t>
        </is>
      </c>
      <c r="B15" s="25" t="inlineStr">
        <is>
          <t>Работа в замкнутом пространстве</t>
        </is>
      </c>
      <c r="C15" s="25" t="inlineStr">
        <is>
          <t>Наблюдающий снаружи и способ связи с работающим внутри</t>
        </is>
      </c>
      <c r="D15" s="25" t="inlineStr">
        <is>
          <t>LLM</t>
        </is>
      </c>
      <c r="E15" s="26" t="inlineStr">
        <is>
          <t>Критично</t>
        </is>
      </c>
      <c r="F15" s="25" t="inlineStr">
        <is>
          <t>Стандарт ОМГ — сверить</t>
        </is>
      </c>
    </row>
    <row r="16" ht="23.25" customHeight="1" s="17">
      <c r="A16" s="25" t="inlineStr">
        <is>
          <t>ZP-03</t>
        </is>
      </c>
      <c r="B16" s="25" t="inlineStr">
        <is>
          <t>Работа в замкнутом пространстве</t>
        </is>
      </c>
      <c r="C16" s="25" t="inlineStr">
        <is>
          <t>Все входящие трубопроводы отсечены заглушками</t>
        </is>
      </c>
      <c r="D16" s="25" t="inlineStr">
        <is>
          <t>LLM</t>
        </is>
      </c>
      <c r="E16" s="26" t="inlineStr">
        <is>
          <t>Критично</t>
        </is>
      </c>
      <c r="F16" s="25" t="inlineStr">
        <is>
          <t>Стандарт ОМГ — сверить</t>
        </is>
      </c>
    </row>
    <row r="17" ht="23.25" customHeight="1" s="17">
      <c r="A17" s="25" t="inlineStr">
        <is>
          <t>ZP-04</t>
        </is>
      </c>
      <c r="B17" s="25" t="inlineStr">
        <is>
          <t>Работа в замкнутом пространстве</t>
        </is>
      </c>
      <c r="C17" s="25" t="inlineStr">
        <is>
          <t>Огневые работы внутри (F31) → оформлены НД на огневые и газоопасные работы</t>
        </is>
      </c>
      <c r="D17" s="25" t="inlineStr">
        <is>
          <t>Код</t>
        </is>
      </c>
      <c r="E17" s="26" t="inlineStr">
        <is>
          <t>Критично</t>
        </is>
      </c>
      <c r="F17" s="25" t="inlineStr">
        <is>
          <t>Аналог: ПБ ОПО подготовки и переработки газов, п. 101 (V1400010238) — решение ОМГ</t>
        </is>
      </c>
    </row>
    <row r="18" ht="23.25" customHeight="1" s="17">
      <c r="A18" s="25" t="inlineStr">
        <is>
          <t>ZP-05</t>
        </is>
      </c>
      <c r="B18" s="25" t="inlineStr">
        <is>
          <t>Работа в замкнутом пространстве</t>
        </is>
      </c>
      <c r="C18" s="25" t="inlineStr">
        <is>
          <t>Сварка внутри → шланговый противогаз; запрет одновременной работы газо- и электросварщика внутри</t>
        </is>
      </c>
      <c r="D18" s="25" t="inlineStr">
        <is>
          <t>LLM</t>
        </is>
      </c>
      <c r="E18" s="26" t="inlineStr">
        <is>
          <t>Критично</t>
        </is>
      </c>
      <c r="F18" s="25" t="inlineStr">
        <is>
          <t>Аналог: V1400010238 — решение ОМГ</t>
        </is>
      </c>
    </row>
    <row r="19" ht="23.25" customHeight="1" s="17">
      <c r="A19" s="25" t="inlineStr">
        <is>
          <t>ZP-06</t>
        </is>
      </c>
      <c r="B19" s="25" t="inlineStr">
        <is>
          <t>Работа в замкнутом пространстве</t>
        </is>
      </c>
      <c r="C19" s="25" t="inlineStr">
        <is>
          <t>Опасности «отравление/удушье», «взрыв», «затруднённая эвакуация» есть в рисках</t>
        </is>
      </c>
      <c r="D19" s="25" t="inlineStr">
        <is>
          <t>Код</t>
        </is>
      </c>
      <c r="E19" s="27" t="inlineStr">
        <is>
          <t>Существенно</t>
        </is>
      </c>
      <c r="F19" s="25" t="inlineStr">
        <is>
          <t>Справочник рисков</t>
        </is>
      </c>
    </row>
    <row r="20" ht="23.25" customHeight="1" s="17">
      <c r="A20" s="25" t="inlineStr">
        <is>
          <t>DR-01</t>
        </is>
      </c>
      <c r="B20" s="25" t="inlineStr">
        <is>
          <t>Другие работы повышенной опасности</t>
        </is>
      </c>
      <c r="C20" s="25" t="inlineStr">
        <is>
          <t>Описание работ достаточно конкретно (объект, вид работы, оборудование)</t>
        </is>
      </c>
      <c r="D20" s="25" t="inlineStr">
        <is>
          <t>LLM</t>
        </is>
      </c>
      <c r="E20" s="29" t="inlineStr">
        <is>
          <t>Вопрос</t>
        </is>
      </c>
      <c r="F20" s="25" t="inlineStr">
        <is>
          <t>—</t>
        </is>
      </c>
    </row>
    <row r="21" ht="23.25" customHeight="1" s="17">
      <c r="A21" s="25" t="inlineStr">
        <is>
          <t>DR-02</t>
        </is>
      </c>
      <c r="B21" s="25" t="inlineStr">
        <is>
          <t>Другие работы повышенной опасности</t>
        </is>
      </c>
      <c r="C21" s="25" t="inlineStr">
        <is>
          <t>Все мероприятия соответствуют описанию работ</t>
        </is>
      </c>
      <c r="D21" s="25" t="inlineStr">
        <is>
          <t>LLM</t>
        </is>
      </c>
      <c r="E21" s="27" t="inlineStr">
        <is>
          <t>Существенно</t>
        </is>
      </c>
      <c r="F21" s="25" t="inlineStr">
        <is>
          <t>—</t>
        </is>
      </c>
    </row>
    <row r="22" ht="23.25" customHeight="1" s="17">
      <c r="A22" s="25" t="inlineStr">
        <is>
          <t>DR-03</t>
        </is>
      </c>
      <c r="B22" s="25" t="inlineStr">
        <is>
          <t>Другие работы повышенной опасности</t>
        </is>
      </c>
      <c r="C22" s="25" t="inlineStr">
        <is>
          <t>В рисках ≥ 1 опасность, соответствующая описанию</t>
        </is>
      </c>
      <c r="D22" s="25" t="inlineStr">
        <is>
          <t>LLM + код</t>
        </is>
      </c>
      <c r="E22" s="26" t="inlineStr">
        <is>
          <t>Критично</t>
        </is>
      </c>
      <c r="F22" s="25" t="inlineStr">
        <is>
          <t>—</t>
        </is>
      </c>
    </row>
    <row r="23" ht="23.25" customHeight="1" s="17">
      <c r="A23" s="25" t="inlineStr">
        <is>
          <t>DR-04</t>
        </is>
      </c>
      <c r="B23" s="25" t="inlineStr">
        <is>
          <t>Другие работы повышенной опасности</t>
        </is>
      </c>
      <c r="C23" s="25" t="inlineStr">
        <is>
          <t>Если по описанию работа относится к другой категории — предложить сменить категорию</t>
        </is>
      </c>
      <c r="D23" s="25" t="inlineStr">
        <is>
          <t>LLM</t>
        </is>
      </c>
      <c r="E23" s="29" t="inlineStr">
        <is>
          <t>Вопрос</t>
        </is>
      </c>
      <c r="F23" s="25" t="inlineStr">
        <is>
          <t>—</t>
        </is>
      </c>
    </row>
    <row r="24" ht="23.25" customHeight="1" s="17">
      <c r="A24" s="25" t="inlineStr">
        <is>
          <t>OG-01</t>
        </is>
      </c>
      <c r="B24" s="25" t="inlineStr">
        <is>
          <t>Огневые работы</t>
        </is>
      </c>
      <c r="C24" s="25" t="inlineStr">
        <is>
          <t>Не ближе 50 м от мест применения/складирования ЛВЖ и ВВ (F34 = Нет или мероприятие)</t>
        </is>
      </c>
      <c r="D24" s="25" t="inlineStr">
        <is>
          <t>Код + LLM</t>
        </is>
      </c>
      <c r="E24" s="26" t="inlineStr">
        <is>
          <t>Критично</t>
        </is>
      </c>
      <c r="F24" s="25" t="inlineStr">
        <is>
          <t>№ 355, п. 32</t>
        </is>
      </c>
    </row>
    <row r="25" ht="15" customHeight="1" s="17">
      <c r="A25" s="25" t="inlineStr">
        <is>
          <t>OG-02</t>
        </is>
      </c>
      <c r="B25" s="25" t="inlineStr">
        <is>
          <t>Огневые работы</t>
        </is>
      </c>
      <c r="C25" s="25" t="inlineStr">
        <is>
          <t>Средства пожаротушения на месте указаны</t>
        </is>
      </c>
      <c r="D25" s="25" t="inlineStr">
        <is>
          <t>Код + LLM</t>
        </is>
      </c>
      <c r="E25" s="26" t="inlineStr">
        <is>
          <t>Критично</t>
        </is>
      </c>
      <c r="F25" s="25" t="inlineStr">
        <is>
          <t>№ 355, п. 32</t>
        </is>
      </c>
    </row>
    <row r="26" ht="15" customHeight="1" s="17">
      <c r="A26" s="25" t="inlineStr">
        <is>
          <t>OG-03</t>
        </is>
      </c>
      <c r="B26" s="25" t="inlineStr">
        <is>
          <t>Огневые работы</t>
        </is>
      </c>
      <c r="C26" s="25" t="inlineStr">
        <is>
          <t>При F03 — анализ воздуха до начала и после перерывов</t>
        </is>
      </c>
      <c r="D26" s="25" t="inlineStr">
        <is>
          <t>Код</t>
        </is>
      </c>
      <c r="E26" s="26" t="inlineStr">
        <is>
          <t>Критично</t>
        </is>
      </c>
      <c r="F26" s="25" t="inlineStr">
        <is>
          <t>№ 355, п. 33</t>
        </is>
      </c>
    </row>
    <row r="27" ht="23.25" customHeight="1" s="17">
      <c r="A27" s="25" t="inlineStr">
        <is>
          <t>OG-04</t>
        </is>
      </c>
      <c r="B27" s="25" t="inlineStr">
        <is>
          <t>Огневые работы</t>
        </is>
      </c>
      <c r="C27" s="25" t="inlineStr">
        <is>
          <t>Огневые внутри ёмкости (F31) → дополнительно НД на газоопасные работы</t>
        </is>
      </c>
      <c r="D27" s="25" t="inlineStr">
        <is>
          <t>Код</t>
        </is>
      </c>
      <c r="E27" s="26" t="inlineStr">
        <is>
          <t>Критично</t>
        </is>
      </c>
      <c r="F27" s="25" t="inlineStr">
        <is>
          <t>Аналог V1400010238, п. 101 — решение ОМГ</t>
        </is>
      </c>
    </row>
    <row r="28" ht="23.25" customHeight="1" s="17">
      <c r="A28" s="25" t="inlineStr">
        <is>
          <t>OG-05</t>
        </is>
      </c>
      <c r="B28" s="25" t="inlineStr">
        <is>
          <t>Огневые работы</t>
        </is>
      </c>
      <c r="C28" s="25" t="inlineStr">
        <is>
          <t>Поле «Противопожарная служба» соответствует параметру ОМГ для объекта</t>
        </is>
      </c>
      <c r="D28" s="25" t="inlineStr">
        <is>
          <t>Код</t>
        </is>
      </c>
      <c r="E28" s="27" t="inlineStr">
        <is>
          <t>Существенно</t>
        </is>
      </c>
      <c r="F28" s="25" t="inlineStr">
        <is>
          <t>Параметр ОМГ</t>
        </is>
      </c>
    </row>
    <row r="29" ht="15" customHeight="1" s="17">
      <c r="A29" s="25" t="inlineStr">
        <is>
          <t>OG-06</t>
        </is>
      </c>
      <c r="B29" s="25" t="inlineStr">
        <is>
          <t>Огневые работы</t>
        </is>
      </c>
      <c r="C29" s="25" t="inlineStr">
        <is>
          <t>Требования главы 7 Правил пожарной безопасности</t>
        </is>
      </c>
      <c r="D29" s="25" t="inlineStr">
        <is>
          <t>—</t>
        </is>
      </c>
      <c r="E29" s="31" t="inlineStr">
        <is>
          <t>По карточке</t>
        </is>
      </c>
      <c r="F29" s="25" t="inlineStr">
        <is>
          <t>ППБ № 55 — наполнить</t>
        </is>
      </c>
    </row>
    <row r="30" ht="15" customHeight="1" s="17">
      <c r="A30" s="25" t="inlineStr">
        <is>
          <t>GO-01</t>
        </is>
      </c>
      <c r="B30" s="25" t="inlineStr">
        <is>
          <t>Газоопасные работы</t>
        </is>
      </c>
      <c r="C30" s="25" t="inlineStr">
        <is>
          <t>Флаг «Контроль газо-воздушной среды» = Да</t>
        </is>
      </c>
      <c r="D30" s="25" t="inlineStr">
        <is>
          <t>Код</t>
        </is>
      </c>
      <c r="E30" s="26" t="inlineStr">
        <is>
          <t>Критично</t>
        </is>
      </c>
      <c r="F30" s="25" t="inlineStr">
        <is>
          <t>№ 355, п. 33</t>
        </is>
      </c>
    </row>
    <row r="31" ht="15" customHeight="1" s="17">
      <c r="A31" s="25" t="inlineStr">
        <is>
          <t>GO-02</t>
        </is>
      </c>
      <c r="B31" s="25" t="inlineStr">
        <is>
          <t>Газоопасные работы</t>
        </is>
      </c>
      <c r="C31" s="25" t="inlineStr">
        <is>
          <t>В 5.4 место, время, периодичность, прибор, результат</t>
        </is>
      </c>
      <c r="D31" s="25" t="inlineStr">
        <is>
          <t>Код (шаблон)</t>
        </is>
      </c>
      <c r="E31" s="27" t="inlineStr">
        <is>
          <t>Существенно</t>
        </is>
      </c>
      <c r="F31" s="25" t="inlineStr">
        <is>
          <t>Форма НД, подсказка 5.4</t>
        </is>
      </c>
    </row>
    <row r="32" ht="15" customHeight="1" s="17">
      <c r="A32" s="25" t="inlineStr">
        <is>
          <t>GO-03</t>
        </is>
      </c>
      <c r="B32" s="25" t="inlineStr">
        <is>
          <t>Газоопасные работы</t>
        </is>
      </c>
      <c r="C32" s="25" t="inlineStr">
        <is>
          <t>Остановка работ при загазованности до её устранения</t>
        </is>
      </c>
      <c r="D32" s="25" t="inlineStr">
        <is>
          <t>LLM</t>
        </is>
      </c>
      <c r="E32" s="27" t="inlineStr">
        <is>
          <t>Существенно</t>
        </is>
      </c>
      <c r="F32" s="25" t="inlineStr">
        <is>
          <t>№ 355, п. 33</t>
        </is>
      </c>
    </row>
    <row r="33" ht="15" customHeight="1" s="17">
      <c r="A33" s="25" t="inlineStr">
        <is>
          <t>GO-04</t>
        </is>
      </c>
      <c r="B33" s="25" t="inlineStr">
        <is>
          <t>Газоопасные работы</t>
        </is>
      </c>
      <c r="C33" s="25" t="inlineStr">
        <is>
          <t>Двусторонняя связь</t>
        </is>
      </c>
      <c r="D33" s="25" t="inlineStr">
        <is>
          <t>Код + LLM</t>
        </is>
      </c>
      <c r="E33" s="27" t="inlineStr">
        <is>
          <t>Существенно</t>
        </is>
      </c>
      <c r="F33" s="25" t="inlineStr">
        <is>
          <t>№ 355, п. 39</t>
        </is>
      </c>
    </row>
    <row r="34" ht="15" customHeight="1" s="17">
      <c r="A34" s="25" t="inlineStr">
        <is>
          <t>GO-05</t>
        </is>
      </c>
      <c r="B34" s="25" t="inlineStr">
        <is>
          <t>Газоопасные работы</t>
        </is>
      </c>
      <c r="C34" s="25" t="inlineStr">
        <is>
          <t>Опасности «отравление», «взрыв/пожар» есть в рисках</t>
        </is>
      </c>
      <c r="D34" s="25" t="inlineStr">
        <is>
          <t>Код</t>
        </is>
      </c>
      <c r="E34" s="27" t="inlineStr">
        <is>
          <t>Существенно</t>
        </is>
      </c>
      <c r="F34" s="25" t="inlineStr">
        <is>
          <t>Справочник рисков</t>
        </is>
      </c>
    </row>
    <row r="35" ht="15" customHeight="1" s="17">
      <c r="A35" s="25" t="inlineStr">
        <is>
          <t>VS-01</t>
        </is>
      </c>
      <c r="B35" s="25" t="inlineStr">
        <is>
          <t>Работы на высоте</t>
        </is>
      </c>
      <c r="C35" s="25" t="inlineStr">
        <is>
          <t>Определены способ страховки и точки закрепления</t>
        </is>
      </c>
      <c r="D35" s="25" t="inlineStr">
        <is>
          <t>LLM</t>
        </is>
      </c>
      <c r="E35" s="26" t="inlineStr">
        <is>
          <t>Критично</t>
        </is>
      </c>
      <c r="F35" s="25" t="inlineStr">
        <is>
          <t>№ 109, п. 9</t>
        </is>
      </c>
    </row>
    <row r="36" ht="15" customHeight="1" s="17">
      <c r="A36" s="25" t="inlineStr">
        <is>
          <t>VS-02</t>
        </is>
      </c>
      <c r="B36" s="25" t="inlineStr">
        <is>
          <t>Работы на высоте</t>
        </is>
      </c>
      <c r="C36" s="25" t="inlineStr">
        <is>
          <t>Стоп-условия: видимость, осадки, гроза, ветер ≥ 15 м/с</t>
        </is>
      </c>
      <c r="D36" s="25" t="inlineStr">
        <is>
          <t>Код + LLM</t>
        </is>
      </c>
      <c r="E36" s="27" t="inlineStr">
        <is>
          <t>Существенно</t>
        </is>
      </c>
      <c r="F36" s="25" t="inlineStr">
        <is>
          <t>№ 109, п. 4</t>
        </is>
      </c>
    </row>
    <row r="37" ht="23.25" customHeight="1" s="17">
      <c r="A37" s="25" t="inlineStr">
        <is>
          <t>VS-03</t>
        </is>
      </c>
      <c r="B37" s="25" t="inlineStr">
        <is>
          <t>Работы на высоте</t>
        </is>
      </c>
      <c r="C37" s="25" t="inlineStr">
        <is>
          <t>Температурные ограничения — по гигиеническим нормативам № ҚР ДСМ-15, а не «нормам местных органов»</t>
        </is>
      </c>
      <c r="D37" s="25" t="inlineStr">
        <is>
          <t>Код (маркеры)</t>
        </is>
      </c>
      <c r="E37" s="28" t="inlineStr">
        <is>
          <t>Рекомендация</t>
        </is>
      </c>
      <c r="F37" s="25" t="inlineStr">
        <is>
          <t>№ 109, п. 5</t>
        </is>
      </c>
    </row>
    <row r="38" ht="15" customHeight="1" s="17">
      <c r="A38" s="25" t="inlineStr">
        <is>
          <t>VS-04</t>
        </is>
      </c>
      <c r="B38" s="25" t="inlineStr">
        <is>
          <t>Работы на высоте</t>
        </is>
      </c>
      <c r="C38" s="25" t="inlineStr">
        <is>
          <t>Радиус ограждения ≥ табличного для указанной высоты</t>
        </is>
      </c>
      <c r="D38" s="25" t="inlineStr">
        <is>
          <t>Код (параметр)</t>
        </is>
      </c>
      <c r="E38" s="27" t="inlineStr">
        <is>
          <t>Существенно</t>
        </is>
      </c>
      <c r="F38" s="25" t="inlineStr">
        <is>
          <t>№ 109, п. 77</t>
        </is>
      </c>
    </row>
    <row r="39" ht="15" customHeight="1" s="17">
      <c r="A39" s="25" t="inlineStr">
        <is>
          <t>VS-05</t>
        </is>
      </c>
      <c r="B39" s="25" t="inlineStr">
        <is>
          <t>Работы на высоте</t>
        </is>
      </c>
      <c r="C39" s="25" t="inlineStr">
        <is>
          <t>Аварийный запас снаряжения или ≥ 2 свободные верёвки</t>
        </is>
      </c>
      <c r="D39" s="25" t="inlineStr">
        <is>
          <t>Код + LLM</t>
        </is>
      </c>
      <c r="E39" s="27" t="inlineStr">
        <is>
          <t>Существенно</t>
        </is>
      </c>
      <c r="F39" s="25" t="inlineStr">
        <is>
          <t>№ 109, п. 9</t>
        </is>
      </c>
    </row>
    <row r="40" ht="15" customHeight="1" s="17">
      <c r="A40" s="25" t="inlineStr">
        <is>
          <t>VS-06</t>
        </is>
      </c>
      <c r="B40" s="25" t="inlineStr">
        <is>
          <t>Работы на высоте</t>
        </is>
      </c>
      <c r="C40" s="25" t="inlineStr">
        <is>
          <t>Связь в бригаде (зрительная, голосовая или радио)</t>
        </is>
      </c>
      <c r="D40" s="25" t="inlineStr">
        <is>
          <t>Код + LLM</t>
        </is>
      </c>
      <c r="E40" s="27" t="inlineStr">
        <is>
          <t>Существенно</t>
        </is>
      </c>
      <c r="F40" s="25" t="inlineStr">
        <is>
          <t>№ 109, п. 7</t>
        </is>
      </c>
    </row>
    <row r="41" ht="15" customHeight="1" s="17">
      <c r="A41" s="25" t="inlineStr">
        <is>
          <t>VS-07</t>
        </is>
      </c>
      <c r="B41" s="25" t="inlineStr">
        <is>
          <t>Работы на высоте</t>
        </is>
      </c>
      <c r="C41" s="25" t="inlineStr">
        <is>
          <t>ГПМ не въезжают в рабочую зону (при F01)</t>
        </is>
      </c>
      <c r="D41" s="25" t="inlineStr">
        <is>
          <t>Код</t>
        </is>
      </c>
      <c r="E41" s="26" t="inlineStr">
        <is>
          <t>Критично</t>
        </is>
      </c>
      <c r="F41" s="25" t="inlineStr">
        <is>
          <t>№ 109, п. 80</t>
        </is>
      </c>
    </row>
    <row r="42" ht="15" customHeight="1" s="17">
      <c r="A42" s="25" t="inlineStr">
        <is>
          <t>VS-08</t>
        </is>
      </c>
      <c r="B42" s="25" t="inlineStr">
        <is>
          <t>Работы на высоте</t>
        </is>
      </c>
      <c r="C42" s="25" t="inlineStr">
        <is>
          <t>Предметы &gt; 10 кг — независимая страховка (при F25)</t>
        </is>
      </c>
      <c r="D42" s="25" t="inlineStr">
        <is>
          <t>Код</t>
        </is>
      </c>
      <c r="E42" s="27" t="inlineStr">
        <is>
          <t>Существенно</t>
        </is>
      </c>
      <c r="F42" s="25" t="inlineStr">
        <is>
          <t>№ 109, п. 85</t>
        </is>
      </c>
    </row>
  </sheetData>
  <autoFilter ref="A1:F4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6" min="1" max="1"/>
    <col width="18" customWidth="1" style="16" min="2" max="2"/>
    <col width="55" customWidth="1" style="16" min="3" max="3"/>
    <col width="26" customWidth="1" style="16" min="4" max="4"/>
    <col width="13" customWidth="1" style="16" min="5" max="5"/>
    <col width="55" customWidth="1" style="16" min="6" max="6"/>
    <col width="20" customWidth="1" style="16" min="7" max="7"/>
  </cols>
  <sheetData>
    <row r="1" ht="23.25" customHeight="1" s="17">
      <c r="A1" s="24" t="inlineStr">
        <is>
          <t>ID</t>
        </is>
      </c>
      <c r="B1" s="24" t="inlineStr">
        <is>
          <t>Группа</t>
        </is>
      </c>
      <c r="C1" s="24" t="inlineStr">
        <is>
          <t>Проверка</t>
        </is>
      </c>
      <c r="D1" s="24" t="inlineStr">
        <is>
          <t>Исполнитель</t>
        </is>
      </c>
      <c r="E1" s="24" t="inlineStr">
        <is>
          <t>Критичность</t>
        </is>
      </c>
      <c r="F1" s="24" t="inlineStr">
        <is>
          <t>Сообщение пользователю</t>
        </is>
      </c>
      <c r="G1" s="24" t="inlineStr">
        <is>
          <t>Основание</t>
        </is>
      </c>
    </row>
    <row r="2" ht="23.25" customHeight="1" s="17">
      <c r="A2" s="25" t="inlineStr">
        <is>
          <t>RA01</t>
        </is>
      </c>
      <c r="B2" s="25" t="inlineStr">
        <is>
          <t>Полнота</t>
        </is>
      </c>
      <c r="C2" s="25" t="inlineStr">
        <is>
          <t>Таблица рисков пустая</t>
        </is>
      </c>
      <c r="D2" s="25" t="inlineStr">
        <is>
          <t>Код</t>
        </is>
      </c>
      <c r="E2" s="26" t="inlineStr">
        <is>
          <t>Критично</t>
        </is>
      </c>
      <c r="F2" s="25" t="inlineStr">
        <is>
          <t>Оценка рисков не заполнена. Добавьте опасности для работы «{category}».</t>
        </is>
      </c>
      <c r="G2" s="25" t="n"/>
    </row>
    <row r="3" ht="23.25" customHeight="1" s="17">
      <c r="A3" s="25" t="inlineStr">
        <is>
          <t>RA02</t>
        </is>
      </c>
      <c r="B3" s="25" t="inlineStr">
        <is>
          <t>Полнота</t>
        </is>
      </c>
      <c r="C3" s="25" t="inlineStr">
        <is>
          <t>В строке не заполнено обязательное поле: опасность, кто может пострадать, как, существующие меры, В, П</t>
        </is>
      </c>
      <c r="D3" s="25" t="inlineStr">
        <is>
          <t>Код</t>
        </is>
      </c>
      <c r="E3" s="26" t="inlineStr">
        <is>
          <t>Критично</t>
        </is>
      </c>
      <c r="F3" s="25" t="inlineStr">
        <is>
          <t>Строка {n}: не заполнено поле «{field}».</t>
        </is>
      </c>
      <c r="G3" s="25" t="n"/>
    </row>
    <row r="4" ht="15" customHeight="1" s="17">
      <c r="A4" s="25" t="inlineStr">
        <is>
          <t>RA03</t>
        </is>
      </c>
      <c r="B4" s="25" t="inlineStr">
        <is>
          <t>Арифметика</t>
        </is>
      </c>
      <c r="C4" s="25" t="inlineStr">
        <is>
          <t>В или П вне шкалы организации (целое в диапазоне P10)</t>
        </is>
      </c>
      <c r="D4" s="25" t="inlineStr">
        <is>
          <t>Код</t>
        </is>
      </c>
      <c r="E4" s="26" t="inlineStr">
        <is>
          <t>Критично</t>
        </is>
      </c>
      <c r="F4" s="25" t="inlineStr">
        <is>
          <t>Строка {n}: значение {field} = {value} вне шкалы {min}–{max}.</t>
        </is>
      </c>
      <c r="G4" s="25" t="inlineStr">
        <is>
          <t>Параметр P10</t>
        </is>
      </c>
    </row>
    <row r="5" ht="23.25" customHeight="1" s="17">
      <c r="A5" s="25" t="inlineStr">
        <is>
          <t>RA04</t>
        </is>
      </c>
      <c r="B5" s="25" t="inlineStr">
        <is>
          <t>Арифметика</t>
        </is>
      </c>
      <c r="C5" s="25" t="inlineStr">
        <is>
          <t>Р ≠ В × П (исходный или остаточный). Р рассчитывается системой, ручной ввод запрещён</t>
        </is>
      </c>
      <c r="D5" s="25" t="inlineStr">
        <is>
          <t>Код (автоисправление)</t>
        </is>
      </c>
      <c r="E5" s="26" t="inlineStr">
        <is>
          <t>Критично</t>
        </is>
      </c>
      <c r="F5" s="25" t="inlineStr">
        <is>
          <t>Строка {n}: Р пересчитан: {B} × {P} = {R}.</t>
        </is>
      </c>
      <c r="G5" s="25" t="n"/>
    </row>
    <row r="6" ht="15" customHeight="1" s="17">
      <c r="A6" s="25" t="inlineStr">
        <is>
          <t>RA05</t>
        </is>
      </c>
      <c r="B6" s="25" t="inlineStr">
        <is>
          <t>Логика снижения</t>
        </is>
      </c>
      <c r="C6" s="25" t="inlineStr">
        <is>
          <t>Остаточный Р больше исходного</t>
        </is>
      </c>
      <c r="D6" s="25" t="inlineStr">
        <is>
          <t>Код</t>
        </is>
      </c>
      <c r="E6" s="26" t="inlineStr">
        <is>
          <t>Критично</t>
        </is>
      </c>
      <c r="F6" s="25" t="inlineStr">
        <is>
          <t>Строка {n}: остаточный риск ({R2}) выше исходного ({R1}).</t>
        </is>
      </c>
      <c r="G6" s="25" t="n"/>
    </row>
    <row r="7" ht="23.25" customHeight="1" s="17">
      <c r="A7" s="25" t="inlineStr">
        <is>
          <t>RA06</t>
        </is>
      </c>
      <c r="B7" s="25" t="inlineStr">
        <is>
          <t>Логика снижения</t>
        </is>
      </c>
      <c r="C7" s="25" t="inlineStr">
        <is>
          <t>Остаточные В/П заполнены и ниже исходных, а доп. меры пусты</t>
        </is>
      </c>
      <c r="D7" s="25" t="inlineStr">
        <is>
          <t>Код</t>
        </is>
      </c>
      <c r="E7" s="26" t="inlineStr">
        <is>
          <t>Критично</t>
        </is>
      </c>
      <c r="F7" s="25" t="inlineStr">
        <is>
          <t>Строка {n}: риск снижен без дополнительных мер. Укажите меры или верните исходные значения.</t>
        </is>
      </c>
      <c r="G7" s="25" t="n"/>
    </row>
    <row r="8" ht="15" customHeight="1" s="17">
      <c r="A8" s="25" t="inlineStr">
        <is>
          <t>RA07</t>
        </is>
      </c>
      <c r="B8" s="25" t="inlineStr">
        <is>
          <t>Логика снижения</t>
        </is>
      </c>
      <c r="C8" s="25" t="inlineStr">
        <is>
          <t>Доп. меры заполнены, а остаточные В/П не указаны</t>
        </is>
      </c>
      <c r="D8" s="25" t="inlineStr">
        <is>
          <t>Код</t>
        </is>
      </c>
      <c r="E8" s="27" t="inlineStr">
        <is>
          <t>Существенно</t>
        </is>
      </c>
      <c r="F8" s="25" t="inlineStr">
        <is>
          <t>Строка {n}: укажите остаточные В и П после доп. мер.</t>
        </is>
      </c>
      <c r="G8" s="25" t="n"/>
    </row>
    <row r="9" ht="23.25" customHeight="1" s="17">
      <c r="A9" s="25" t="inlineStr">
        <is>
          <t>RA08</t>
        </is>
      </c>
      <c r="B9" s="25" t="inlineStr">
        <is>
          <t>Логика снижения</t>
        </is>
      </c>
      <c r="C9" s="25" t="inlineStr">
        <is>
          <t>Доп. меры совпадают с существующими (тот же ID справочника или сходство ≥ 0,9)</t>
        </is>
      </c>
      <c r="D9" s="25" t="inlineStr">
        <is>
          <t>Код</t>
        </is>
      </c>
      <c r="E9" s="26" t="inlineStr">
        <is>
          <t>Критично</t>
        </is>
      </c>
      <c r="F9" s="25" t="inlineStr">
        <is>
          <t>Строка {n}: доп. мера «{m}» уже указана в существующих мерах и не может снижать риск повторно.</t>
        </is>
      </c>
      <c r="G9" s="25" t="n"/>
    </row>
    <row r="10" ht="23.25" customHeight="1" s="17">
      <c r="A10" s="25" t="inlineStr">
        <is>
          <t>RA09</t>
        </is>
      </c>
      <c r="B10" s="25" t="inlineStr">
        <is>
          <t>Логика снижения</t>
        </is>
      </c>
      <c r="C10" s="25" t="inlineStr">
        <is>
          <t>Снижена тяжесть В, но ни одна доп. мера не влияет на тяжесть (признак меры «влияет на» = П)</t>
        </is>
      </c>
      <c r="D10" s="25" t="inlineStr">
        <is>
          <t>Код (по признаку меры); LLM, если признак не задан</t>
        </is>
      </c>
      <c r="E10" s="27" t="inlineStr">
        <is>
          <t>Существенно</t>
        </is>
      </c>
      <c r="F10" s="25" t="inlineStr">
        <is>
          <t>Строка {n}: тяжесть снижена с {B1} до {B2}, но меры «{m}» влияют только на вероятность.</t>
        </is>
      </c>
      <c r="G10" s="25" t="inlineStr">
        <is>
          <t>Иерархия мер</t>
        </is>
      </c>
    </row>
    <row r="11" ht="23.25" customHeight="1" s="17">
      <c r="A11" s="25" t="inlineStr">
        <is>
          <t>RA10</t>
        </is>
      </c>
      <c r="B11" s="25" t="inlineStr">
        <is>
          <t>Допустимость</t>
        </is>
      </c>
      <c r="C11" s="25" t="inlineStr">
        <is>
          <t>Остаточный Р в недопустимой зоне организации</t>
        </is>
      </c>
      <c r="D11" s="25" t="inlineStr">
        <is>
          <t>Код (параметр P10)</t>
        </is>
      </c>
      <c r="E11" s="26" t="inlineStr">
        <is>
          <t>Критично</t>
        </is>
      </c>
      <c r="F11" s="25" t="inlineStr">
        <is>
          <t>Строка {n}: остаточный риск {R2} недопустим. Нужны дополнительные меры или решение руководства.</t>
        </is>
      </c>
      <c r="G11" s="25" t="inlineStr">
        <is>
          <t>Параметр P10</t>
        </is>
      </c>
    </row>
    <row r="12" ht="15" customHeight="1" s="17">
      <c r="A12" s="25" t="inlineStr">
        <is>
          <t>RA11</t>
        </is>
      </c>
      <c r="B12" s="25" t="inlineStr">
        <is>
          <t>Допустимость</t>
        </is>
      </c>
      <c r="C12" s="25" t="inlineStr">
        <is>
          <t>Исходный Р в зоне «требует мер», а доп. меры не указаны</t>
        </is>
      </c>
      <c r="D12" s="25" t="inlineStr">
        <is>
          <t>Код (параметр P10)</t>
        </is>
      </c>
      <c r="E12" s="27" t="inlineStr">
        <is>
          <t>Существенно</t>
        </is>
      </c>
      <c r="F12" s="25" t="inlineStr">
        <is>
          <t>Строка {n}: риск {R1} требует дополнительных мер контроля.</t>
        </is>
      </c>
      <c r="G12" s="25" t="inlineStr">
        <is>
          <t>Параметр P10</t>
        </is>
      </c>
    </row>
    <row r="13" ht="23.25" customHeight="1" s="17">
      <c r="A13" s="25" t="inlineStr">
        <is>
          <t>RA12</t>
        </is>
      </c>
      <c r="B13" s="25" t="inlineStr">
        <is>
          <t>Состав</t>
        </is>
      </c>
      <c r="C13" s="25" t="inlineStr">
        <is>
          <t>Отсутствует обязательная опасность категории (лист «Опасности по категориям», когда = Всегда)</t>
        </is>
      </c>
      <c r="D13" s="25" t="inlineStr">
        <is>
          <t>Код</t>
        </is>
      </c>
      <c r="E13" s="25" t="inlineStr">
        <is>
          <t>По справочнику</t>
        </is>
      </c>
      <c r="F13" s="25" t="inlineStr">
        <is>
          <t>Для работы «{category}» не оценена опасность «{hazard}».</t>
        </is>
      </c>
      <c r="G13" s="25" t="inlineStr">
        <is>
          <t>Справочник опасностей</t>
        </is>
      </c>
    </row>
    <row r="14" ht="23.25" customHeight="1" s="17">
      <c r="A14" s="25" t="inlineStr">
        <is>
          <t>RA13</t>
        </is>
      </c>
      <c r="B14" s="25" t="inlineStr">
        <is>
          <t>Состав</t>
        </is>
      </c>
      <c r="C14" s="25" t="inlineStr">
        <is>
          <t>Отсутствует опасность, обязательная при подтверждённом факторе</t>
        </is>
      </c>
      <c r="D14" s="25" t="inlineStr">
        <is>
          <t>Код</t>
        </is>
      </c>
      <c r="E14" s="27" t="inlineStr">
        <is>
          <t>Существенно</t>
        </is>
      </c>
      <c r="F14" s="25" t="inlineStr">
        <is>
          <t>Фактор «{factor}» = Да, но опасность «{hazard}» не оценена.</t>
        </is>
      </c>
      <c r="G14" s="25" t="inlineStr">
        <is>
          <t>Справочник опасностей</t>
        </is>
      </c>
    </row>
    <row r="15" ht="15" customHeight="1" s="17">
      <c r="A15" s="25" t="inlineStr">
        <is>
          <t>RA14</t>
        </is>
      </c>
      <c r="B15" s="25" t="inlineStr">
        <is>
          <t>Состав</t>
        </is>
      </c>
      <c r="C15" s="25" t="inlineStr">
        <is>
          <t>Одна и та же опасность повторяется с тем же «кто» и «как»</t>
        </is>
      </c>
      <c r="D15" s="25" t="inlineStr">
        <is>
          <t>Код</t>
        </is>
      </c>
      <c r="E15" s="27" t="inlineStr">
        <is>
          <t>Существенно</t>
        </is>
      </c>
      <c r="F15" s="25" t="inlineStr">
        <is>
          <t>Строки {n1} и {n2} дублируют друг друга.</t>
        </is>
      </c>
      <c r="G15" s="25" t="n"/>
    </row>
    <row r="16" ht="23.25" customHeight="1" s="17">
      <c r="A16" s="25" t="inlineStr">
        <is>
          <t>RA15</t>
        </is>
      </c>
      <c r="B16" s="25" t="inlineStr">
        <is>
          <t>Применимость</t>
        </is>
      </c>
      <c r="C16" s="25" t="inlineStr">
        <is>
          <t>Опасность из справочника другой категории без соответствующего фактора</t>
        </is>
      </c>
      <c r="D16" s="25" t="inlineStr">
        <is>
          <t>Код</t>
        </is>
      </c>
      <c r="E16" s="28" t="inlineStr">
        <is>
          <t>Рекомендация</t>
        </is>
      </c>
      <c r="F16" s="25" t="inlineStr">
        <is>
          <t>Опасность «{hazard}» не характерна для работы «{category}». Уточните применимость.</t>
        </is>
      </c>
      <c r="G16" s="25" t="inlineStr">
        <is>
          <t>Аналог N01</t>
        </is>
      </c>
    </row>
    <row r="17" ht="23.25" customHeight="1" s="17">
      <c r="A17" s="25" t="inlineStr">
        <is>
          <t>RA16</t>
        </is>
      </c>
      <c r="B17" s="25" t="inlineStr">
        <is>
          <t>Согласованность</t>
        </is>
      </c>
      <c r="C17" s="25" t="inlineStr">
        <is>
          <t>«Кто пострадает» / «как пострадает» не связаны с опасностью в справочнике</t>
        </is>
      </c>
      <c r="D17" s="25" t="inlineStr">
        <is>
          <t>Код (связи справочника); LLM, если связей нет</t>
        </is>
      </c>
      <c r="E17" s="27" t="inlineStr">
        <is>
          <t>Существенно</t>
        </is>
      </c>
      <c r="F17" s="25" t="inlineStr">
        <is>
          <t>Строка {n}: «{harm}» не соответствует опасности «{hazard}».</t>
        </is>
      </c>
      <c r="G17" s="25" t="n"/>
    </row>
    <row r="18" ht="23.25" customHeight="1" s="17">
      <c r="A18" s="25" t="inlineStr">
        <is>
          <t>RA17</t>
        </is>
      </c>
      <c r="B18" s="25" t="inlineStr">
        <is>
          <t>Согласованность</t>
        </is>
      </c>
      <c r="C18" s="25" t="inlineStr">
        <is>
          <t>Существующая или доп. мера не связана с опасностью</t>
        </is>
      </c>
      <c r="D18" s="25" t="inlineStr">
        <is>
          <t>Код (связи справочника); LLM, если связей нет</t>
        </is>
      </c>
      <c r="E18" s="27" t="inlineStr">
        <is>
          <t>Существенно</t>
        </is>
      </c>
      <c r="F18" s="25" t="inlineStr">
        <is>
          <t>Строка {n}: мера «{m}» не снижает опасность «{hazard}».</t>
        </is>
      </c>
      <c r="G18" s="25" t="n"/>
    </row>
    <row r="19" ht="23.25" customHeight="1" s="17">
      <c r="A19" s="25" t="inlineStr">
        <is>
          <t>RA18</t>
        </is>
      </c>
      <c r="B19" s="25" t="inlineStr">
        <is>
          <t>Связь с разделом 5</t>
        </is>
      </c>
      <c r="C19" s="25" t="inlineStr">
        <is>
          <t>Для опасности с Р ≥ порога нет мероприятия в связанном пункте 5.x</t>
        </is>
      </c>
      <c r="D19" s="25" t="inlineStr">
        <is>
          <t>Код</t>
        </is>
      </c>
      <c r="E19" s="27" t="inlineStr">
        <is>
          <t>Существенно</t>
        </is>
      </c>
      <c r="F19" s="25" t="inlineStr">
        <is>
          <t>Для опасности «{hazard}» нет мероприятия в пункте {section}.</t>
        </is>
      </c>
      <c r="G19" s="25" t="n"/>
    </row>
    <row r="20" ht="23.25" customHeight="1" s="17">
      <c r="A20" s="25" t="inlineStr">
        <is>
          <t>RA19</t>
        </is>
      </c>
      <c r="B20" s="25" t="inlineStr">
        <is>
          <t>Связь с разделом 5</t>
        </is>
      </c>
      <c r="C20" s="25" t="inlineStr">
        <is>
          <t>Мероприятие раздела 5 указывает на опасность (ЛЭП, газ, высота, коммуникации), которой нет в рисках</t>
        </is>
      </c>
      <c r="D20" s="25" t="inlineStr">
        <is>
          <t>Код (маркеры) + LLM</t>
        </is>
      </c>
      <c r="E20" s="27" t="inlineStr">
        <is>
          <t>Существенно</t>
        </is>
      </c>
      <c r="F20" s="25" t="inlineStr">
        <is>
          <t>В пункте {section} есть мероприятие по «{topic}», но соответствующая опасность не оценена.</t>
        </is>
      </c>
      <c r="G20" s="25" t="n"/>
    </row>
    <row r="21" ht="23.25" customHeight="1" s="17">
      <c r="A21" s="25" t="inlineStr">
        <is>
          <t>RA20</t>
        </is>
      </c>
      <c r="B21" s="25" t="inlineStr">
        <is>
          <t>Связь с разделом 5</t>
        </is>
      </c>
      <c r="C21" s="25" t="inlineStr">
        <is>
          <t>Доп. мера контроля не отражена в мероприятиях раздела 5 (не будет выполнена при подготовке)</t>
        </is>
      </c>
      <c r="D21" s="25" t="inlineStr">
        <is>
          <t>Код (связь меры с пунктом) + LLM</t>
        </is>
      </c>
      <c r="E21" s="28" t="inlineStr">
        <is>
          <t>Рекомендация</t>
        </is>
      </c>
      <c r="F21" s="25" t="inlineStr">
        <is>
          <t>Доп. мера «{m}» отсутствует в подготовительных мероприятиях. Добавьте её в пункт {section}.</t>
        </is>
      </c>
      <c r="G21" s="25" t="n"/>
    </row>
    <row r="22" ht="23.25" customHeight="1" s="17">
      <c r="A22" s="25" t="inlineStr">
        <is>
          <t>RA21</t>
        </is>
      </c>
      <c r="B22" s="25" t="inlineStr">
        <is>
          <t>Достоверность</t>
        </is>
      </c>
      <c r="C22" s="25" t="inlineStr">
        <is>
          <t>Тяжесть ниже минимальной для опасности (признак справочника «мин. тяжесть»)</t>
        </is>
      </c>
      <c r="D22" s="25" t="inlineStr">
        <is>
          <t>Код (параметр шкалы)</t>
        </is>
      </c>
      <c r="E22" s="27" t="inlineStr">
        <is>
          <t>Существенно</t>
        </is>
      </c>
      <c r="F22" s="25" t="inlineStr">
        <is>
          <t>Строка {n}: тяжесть «{hazard}» = {B}, минимально допустимая для этой опасности — {Bmin}.</t>
        </is>
      </c>
      <c r="G22" s="25" t="inlineStr">
        <is>
          <t>Справочник опасностей</t>
        </is>
      </c>
    </row>
    <row r="23" ht="23.25" customHeight="1" s="17">
      <c r="A23" s="25" t="inlineStr">
        <is>
          <t>RA22</t>
        </is>
      </c>
      <c r="B23" s="25" t="inlineStr">
        <is>
          <t>Достоверность</t>
        </is>
      </c>
      <c r="C23" s="25" t="inlineStr">
        <is>
          <t>Все строки с одинаковыми В и П (шаблонное заполнение)</t>
        </is>
      </c>
      <c r="D23" s="25" t="inlineStr">
        <is>
          <t>Код</t>
        </is>
      </c>
      <c r="E23" s="29" t="inlineStr">
        <is>
          <t>Вопрос</t>
        </is>
      </c>
      <c r="F23" s="25" t="inlineStr">
        <is>
          <t>Все опасности оценены одинаково ({B} × {P}). Подтвердите оценку.</t>
        </is>
      </c>
      <c r="G23" s="25" t="n"/>
    </row>
    <row r="24" ht="23.25" customHeight="1" s="17">
      <c r="A24" s="25" t="inlineStr">
        <is>
          <t>RA23</t>
        </is>
      </c>
      <c r="B24" s="25" t="inlineStr">
        <is>
          <t>Иерархия мер</t>
        </is>
      </c>
      <c r="C24" s="25" t="inlineStr">
        <is>
          <t>При исходном Р в зоне «высокий» все доп. меры — только СИЗ и организационные</t>
        </is>
      </c>
      <c r="D24" s="25" t="inlineStr">
        <is>
          <t>Код (уровень иерархии меры); LLM, если не задан</t>
        </is>
      </c>
      <c r="E24" s="28" t="inlineStr">
        <is>
          <t>Рекомендация</t>
        </is>
      </c>
      <c r="F24" s="25" t="inlineStr">
        <is>
          <t>Строка {n}: для высокого риска рассмотрите инженерные меры или замену способа работ.</t>
        </is>
      </c>
      <c r="G24" s="25" t="inlineStr">
        <is>
          <t>Иерархия мер</t>
        </is>
      </c>
    </row>
    <row r="25" ht="23.85" customHeight="1" s="17">
      <c r="A25" s="25" t="inlineStr">
        <is>
          <t>RA24</t>
        </is>
      </c>
      <c r="B25" s="25" t="inlineStr">
        <is>
          <t>Полнота</t>
        </is>
      </c>
      <c r="C25" s="25" t="inlineStr">
        <is>
          <t>Заполнены доп. меры, а «Кто будет контролировать» или «Когда внедрить» пусты</t>
        </is>
      </c>
      <c r="D25" s="25" t="inlineStr">
        <is>
          <t>Код</t>
        </is>
      </c>
      <c r="E25" s="27" t="inlineStr">
        <is>
          <t>Существенно</t>
        </is>
      </c>
      <c r="F25" s="25" t="inlineStr">
        <is>
          <t>Строка {n}: укажите, кто контролирует доп. меры и когда их внедрить.</t>
        </is>
      </c>
      <c r="G25" s="25" t="n"/>
    </row>
    <row r="26" ht="23.85" customHeight="1" s="17">
      <c r="A26" s="25" t="inlineStr">
        <is>
          <t>RA25</t>
        </is>
      </c>
      <c r="B26" s="25" t="inlineStr">
        <is>
          <t>Допустимость</t>
        </is>
      </c>
      <c r="C26" s="25" t="inlineStr">
        <is>
          <t>«Когда внедрить» позже начала работ для доп. меры, без которой исходный риск в недопустимой зоне</t>
        </is>
      </c>
      <c r="D26" s="25" t="inlineStr">
        <is>
          <t>Код (параметр P10)</t>
        </is>
      </c>
      <c r="E26" s="26" t="inlineStr">
        <is>
          <t>Критично</t>
        </is>
      </c>
      <c r="F26" s="25" t="inlineStr">
        <is>
          <t>Строка {n}: мера «{m}» должна быть внедрена до начала работ — без неё риск {R1} недопустим.</t>
        </is>
      </c>
      <c r="G26" s="25" t="inlineStr">
        <is>
          <t>Параметр P10</t>
        </is>
      </c>
    </row>
  </sheetData>
  <autoFilter ref="A1:G2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J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16" min="1" max="1"/>
    <col width="34" customWidth="1" style="16" min="2" max="2"/>
    <col width="12" customWidth="1" style="16" min="3" max="4"/>
    <col width="22" customWidth="1" style="16" min="5" max="5"/>
    <col width="24" customWidth="1" style="16" min="6" max="6"/>
    <col width="34" customWidth="1" style="16" min="7" max="7"/>
    <col width="48" customWidth="1" style="16" min="8" max="8"/>
    <col width="12" customWidth="1" style="16" min="9" max="9"/>
    <col width="14" customWidth="1" style="16" min="10" max="10"/>
  </cols>
  <sheetData>
    <row r="1" ht="34.5" customHeight="1" s="17">
      <c r="A1" s="24" t="inlineStr">
        <is>
          <t>Категория</t>
        </is>
      </c>
      <c r="B1" s="24" t="inlineStr">
        <is>
          <t>Опасность</t>
        </is>
      </c>
      <c r="C1" s="24" t="inlineStr">
        <is>
          <t>Обязательна</t>
        </is>
      </c>
      <c r="D1" s="24" t="inlineStr">
        <is>
          <t>Мин. тяжесть</t>
        </is>
      </c>
      <c r="E1" s="24" t="inlineStr">
        <is>
          <t>Кто может пострадать</t>
        </is>
      </c>
      <c r="F1" s="24" t="inlineStr">
        <is>
          <t>Как пострадают</t>
        </is>
      </c>
      <c r="G1" s="24" t="inlineStr">
        <is>
          <t>Типовые существующие меры</t>
        </is>
      </c>
      <c r="H1" s="24" t="inlineStr">
        <is>
          <t>Типовые доп. меры (уровень / влияет на)</t>
        </is>
      </c>
      <c r="I1" s="24" t="inlineStr">
        <is>
          <t>Связанные пп. 5.x</t>
        </is>
      </c>
      <c r="J1" s="24" t="inlineStr">
        <is>
          <t>Критичность при отсутствии</t>
        </is>
      </c>
    </row>
    <row r="2" ht="23.25" customHeight="1" s="17">
      <c r="A2" s="25" t="inlineStr">
        <is>
          <t>Земляные работы</t>
        </is>
      </c>
      <c r="B2" s="25" t="inlineStr">
        <is>
          <t>Обрушение грунта стенок выемки</t>
        </is>
      </c>
      <c r="C2" s="25" t="inlineStr">
        <is>
          <t>Всегда</t>
        </is>
      </c>
      <c r="D2" s="25" t="inlineStr">
        <is>
          <t>Высокая</t>
        </is>
      </c>
      <c r="E2" s="25" t="inlineStr">
        <is>
          <t>Работники в выемке</t>
        </is>
      </c>
      <c r="F2" s="25" t="inlineStr">
        <is>
          <t>Завал, травмы, удушье</t>
        </is>
      </c>
      <c r="G2" s="25" t="inlineStr">
        <is>
          <t>Откосы по проекту; крепление стенок</t>
        </is>
      </c>
      <c r="H2" s="25" t="inlineStr">
        <is>
          <t>Инспекция крепления перед сменой (орг. / П); запрет нахождения в выемке без крепления (орг. / П)</t>
        </is>
      </c>
      <c r="I2" s="25" t="inlineStr">
        <is>
          <t>5.6, 5.10</t>
        </is>
      </c>
      <c r="J2" s="26" t="inlineStr">
        <is>
          <t>Критично</t>
        </is>
      </c>
    </row>
    <row r="3" ht="23.25" customHeight="1" s="17">
      <c r="A3" s="25" t="inlineStr">
        <is>
          <t>Земляные работы</t>
        </is>
      </c>
      <c r="B3" s="25" t="inlineStr">
        <is>
          <t>Повреждение подземных коммуникаций</t>
        </is>
      </c>
      <c r="C3" s="25" t="inlineStr">
        <is>
          <t>F27</t>
        </is>
      </c>
      <c r="D3" s="25" t="inlineStr">
        <is>
          <t>Высокая</t>
        </is>
      </c>
      <c r="E3" s="25" t="inlineStr">
        <is>
          <t>Бригада, машинист техники</t>
        </is>
      </c>
      <c r="F3" s="25" t="inlineStr">
        <is>
          <t>Поражение током, выброс газа/нефти, пожар</t>
        </is>
      </c>
      <c r="G3" s="25" t="inlineStr">
        <is>
          <t>Схема коммуникаций; согласование с владельцами</t>
        </is>
      </c>
      <c r="H3" s="25" t="inlineStr">
        <is>
          <t>Ручная разработка в зоне коммуникаций (орг. / П); шурфование (инж. / П); отключение кабеля (инж. / П+В)</t>
        </is>
      </c>
      <c r="I3" s="25" t="inlineStr">
        <is>
          <t>5.2, 5.7</t>
        </is>
      </c>
      <c r="J3" s="26" t="inlineStr">
        <is>
          <t>Критично</t>
        </is>
      </c>
    </row>
    <row r="4" ht="23.25" customHeight="1" s="17">
      <c r="A4" s="25" t="inlineStr">
        <is>
          <t>Земляные работы</t>
        </is>
      </c>
      <c r="B4" s="25" t="inlineStr">
        <is>
          <t>Падение в выемку</t>
        </is>
      </c>
      <c r="C4" s="25" t="inlineStr">
        <is>
          <t>Всегда</t>
        </is>
      </c>
      <c r="D4" s="25" t="inlineStr">
        <is>
          <t>Средняя</t>
        </is>
      </c>
      <c r="E4" s="25" t="inlineStr">
        <is>
          <t>Работники, посторонние</t>
        </is>
      </c>
      <c r="F4" s="25" t="inlineStr">
        <is>
          <t>Переломы, ушибы</t>
        </is>
      </c>
      <c r="G4" s="25" t="inlineStr">
        <is>
          <t>Ограждение ≥ 1 м</t>
        </is>
      </c>
      <c r="H4" s="25" t="inlineStr">
        <is>
          <t>Освещение в тёмное время (инж. / П); переходные мостики (инж. / П)</t>
        </is>
      </c>
      <c r="I4" s="25" t="inlineStr">
        <is>
          <t>5.5</t>
        </is>
      </c>
      <c r="J4" s="27" t="inlineStr">
        <is>
          <t>Существенно</t>
        </is>
      </c>
    </row>
    <row r="5" ht="23.25" customHeight="1" s="17">
      <c r="A5" s="25" t="inlineStr">
        <is>
          <t>Земляные работы</t>
        </is>
      </c>
      <c r="B5" s="25" t="inlineStr">
        <is>
          <t>Загазованность выемки</t>
        </is>
      </c>
      <c r="C5" s="25" t="inlineStr">
        <is>
          <t>F03</t>
        </is>
      </c>
      <c r="D5" s="25" t="inlineStr">
        <is>
          <t>Высокая</t>
        </is>
      </c>
      <c r="E5" s="25" t="inlineStr">
        <is>
          <t>Работники в выемке</t>
        </is>
      </c>
      <c r="F5" s="25" t="inlineStr">
        <is>
          <t>Отравление, потеря сознания</t>
        </is>
      </c>
      <c r="G5" s="25" t="inlineStr">
        <is>
          <t>Анализ воздуха до спуска</t>
        </is>
      </c>
      <c r="H5" s="25" t="inlineStr">
        <is>
          <t>Непрерывный газоконтроль (инж. / П); СИЗОД (СИЗ / В)</t>
        </is>
      </c>
      <c r="I5" s="25" t="inlineStr">
        <is>
          <t>5.4</t>
        </is>
      </c>
      <c r="J5" s="26" t="inlineStr">
        <is>
          <t>Критично</t>
        </is>
      </c>
    </row>
    <row r="6" ht="15" customHeight="1" s="17">
      <c r="A6" s="25" t="inlineStr">
        <is>
          <t>Земляные работы</t>
        </is>
      </c>
      <c r="B6" s="25" t="inlineStr">
        <is>
          <t>Наезд / удар техникой</t>
        </is>
      </c>
      <c r="C6" s="25" t="inlineStr">
        <is>
          <t>F29</t>
        </is>
      </c>
      <c r="D6" s="25" t="inlineStr">
        <is>
          <t>Высокая</t>
        </is>
      </c>
      <c r="E6" s="25" t="inlineStr">
        <is>
          <t>Работники у техники</t>
        </is>
      </c>
      <c r="F6" s="25" t="inlineStr">
        <is>
          <t>Травмы</t>
        </is>
      </c>
      <c r="G6" s="25" t="inlineStr">
        <is>
          <t>Сигнальщик; зона работы техники</t>
        </is>
      </c>
      <c r="H6" s="25" t="inlineStr">
        <is>
          <t>Запрет нахождения в радиусе действия ковша (орг. / П)</t>
        </is>
      </c>
      <c r="I6" s="25" t="inlineStr">
        <is>
          <t>5.1, 5.9</t>
        </is>
      </c>
      <c r="J6" s="27" t="inlineStr">
        <is>
          <t>Существенно</t>
        </is>
      </c>
    </row>
    <row r="7" ht="23.25" customHeight="1" s="17">
      <c r="A7" s="25" t="inlineStr">
        <is>
          <t>Грузоподъемные работы</t>
        </is>
      </c>
      <c r="B7" s="25" t="inlineStr">
        <is>
          <t>Падение груза</t>
        </is>
      </c>
      <c r="C7" s="25" t="inlineStr">
        <is>
          <t>Всегда</t>
        </is>
      </c>
      <c r="D7" s="25" t="inlineStr">
        <is>
          <t>Высокая</t>
        </is>
      </c>
      <c r="E7" s="25" t="inlineStr">
        <is>
          <t>Стропальщики, бригада</t>
        </is>
      </c>
      <c r="F7" s="25" t="inlineStr">
        <is>
          <t>Травмы, смертельный исход</t>
        </is>
      </c>
      <c r="G7" s="25" t="inlineStr">
        <is>
          <t>Строповка по схеме; исправные стропы</t>
        </is>
      </c>
      <c r="H7" s="25" t="inlineStr">
        <is>
          <t>Пробный подъём 200–300 мм (орг. / П); ограждение опасной зоны (инж. / П)</t>
        </is>
      </c>
      <c r="I7" s="25" t="inlineStr">
        <is>
          <t>5.5, 5.10</t>
        </is>
      </c>
      <c r="J7" s="26" t="inlineStr">
        <is>
          <t>Критично</t>
        </is>
      </c>
    </row>
    <row r="8" ht="23.25" customHeight="1" s="17">
      <c r="A8" s="25" t="inlineStr">
        <is>
          <t>Грузоподъемные работы</t>
        </is>
      </c>
      <c r="B8" s="25" t="inlineStr">
        <is>
          <t>Опрокидывание ГПМ</t>
        </is>
      </c>
      <c r="C8" s="25" t="inlineStr">
        <is>
          <t>Всегда</t>
        </is>
      </c>
      <c r="D8" s="25" t="inlineStr">
        <is>
          <t>Высокая</t>
        </is>
      </c>
      <c r="E8" s="25" t="inlineStr">
        <is>
          <t>Машинист, бригада</t>
        </is>
      </c>
      <c r="F8" s="25" t="inlineStr">
        <is>
          <t>Травмы, смертельный исход</t>
        </is>
      </c>
      <c r="G8" s="25" t="inlineStr">
        <is>
          <t>Установка на выносные опоры и подкладки</t>
        </is>
      </c>
      <c r="H8" s="25" t="inlineStr">
        <is>
          <t>Проверка грунта (орг. / П); ограничитель грузоподъёмности (инж. / П)</t>
        </is>
      </c>
      <c r="I8" s="25" t="inlineStr">
        <is>
          <t>5.3</t>
        </is>
      </c>
      <c r="J8" s="26" t="inlineStr">
        <is>
          <t>Критично</t>
        </is>
      </c>
    </row>
    <row r="9" ht="23.25" customHeight="1" s="17">
      <c r="A9" s="25" t="inlineStr">
        <is>
          <t>Грузоподъемные работы</t>
        </is>
      </c>
      <c r="B9" s="25" t="inlineStr">
        <is>
          <t>Поражение током при приближении к ВЛ</t>
        </is>
      </c>
      <c r="C9" s="25" t="inlineStr">
        <is>
          <t>F02</t>
        </is>
      </c>
      <c r="D9" s="25" t="inlineStr">
        <is>
          <t>Высокая</t>
        </is>
      </c>
      <c r="E9" s="25" t="inlineStr">
        <is>
          <t>Машинист, стропальщики</t>
        </is>
      </c>
      <c r="F9" s="25" t="inlineStr">
        <is>
          <t>Электротравма</t>
        </is>
      </c>
      <c r="G9" s="25" t="inlineStr">
        <is>
          <t>Отдельный НД; согласование с сетевой организацией</t>
        </is>
      </c>
      <c r="H9" s="25" t="inlineStr">
        <is>
          <t>Снятие напряжения с ВЛ (устр. / П+В); ограничитель зоны работы (инж. / П)</t>
        </is>
      </c>
      <c r="I9" s="25" t="inlineStr">
        <is>
          <t>5.2</t>
        </is>
      </c>
      <c r="J9" s="26" t="inlineStr">
        <is>
          <t>Критично</t>
        </is>
      </c>
    </row>
    <row r="10" ht="15" customHeight="1" s="17">
      <c r="A10" s="25" t="inlineStr">
        <is>
          <t>Грузоподъемные работы</t>
        </is>
      </c>
      <c r="B10" s="25" t="inlineStr">
        <is>
          <t>Защемление, удар грузом</t>
        </is>
      </c>
      <c r="C10" s="25" t="inlineStr">
        <is>
          <t>Всегда</t>
        </is>
      </c>
      <c r="D10" s="25" t="inlineStr">
        <is>
          <t>Средняя</t>
        </is>
      </c>
      <c r="E10" s="25" t="inlineStr">
        <is>
          <t>Стропальщики</t>
        </is>
      </c>
      <c r="F10" s="25" t="inlineStr">
        <is>
          <t>Травмы рук, ушибы</t>
        </is>
      </c>
      <c r="G10" s="25" t="inlineStr">
        <is>
          <t>Оттяжки</t>
        </is>
      </c>
      <c r="H10" s="25" t="inlineStr">
        <is>
          <t>Запрет направлять груз руками (орг. / П)</t>
        </is>
      </c>
      <c r="I10" s="25" t="inlineStr">
        <is>
          <t>5.5</t>
        </is>
      </c>
      <c r="J10" s="27" t="inlineStr">
        <is>
          <t>Существенно</t>
        </is>
      </c>
    </row>
    <row r="11" ht="15" customHeight="1" s="17">
      <c r="A11" s="25" t="inlineStr">
        <is>
          <t>Грузоподъемные работы</t>
        </is>
      </c>
      <c r="B11" s="25" t="inlineStr">
        <is>
          <t>Нарушение связи и сигнализации</t>
        </is>
      </c>
      <c r="C11" s="25" t="inlineStr">
        <is>
          <t>Всегда</t>
        </is>
      </c>
      <c r="D11" s="25" t="inlineStr">
        <is>
          <t>Средняя</t>
        </is>
      </c>
      <c r="E11" s="25" t="inlineStr">
        <is>
          <t>Бригада</t>
        </is>
      </c>
      <c r="F11" s="25" t="inlineStr">
        <is>
          <t>Падение груза, удар</t>
        </is>
      </c>
      <c r="G11" s="25" t="inlineStr">
        <is>
          <t>Знаковая сигнализация</t>
        </is>
      </c>
      <c r="H11" s="25" t="inlineStr">
        <is>
          <t>Двусторонняя радиосвязь (инж. / П)</t>
        </is>
      </c>
      <c r="I11" s="25" t="inlineStr">
        <is>
          <t>5.10</t>
        </is>
      </c>
      <c r="J11" s="27" t="inlineStr">
        <is>
          <t>Существенно</t>
        </is>
      </c>
    </row>
    <row r="12" ht="23.25" customHeight="1" s="17">
      <c r="A12" s="25" t="inlineStr">
        <is>
          <t>Работа в замкнутом пространстве</t>
        </is>
      </c>
      <c r="B12" s="25" t="inlineStr">
        <is>
          <t>Отравление / удушье</t>
        </is>
      </c>
      <c r="C12" s="25" t="inlineStr">
        <is>
          <t>Всегда</t>
        </is>
      </c>
      <c r="D12" s="25" t="inlineStr">
        <is>
          <t>Высокая</t>
        </is>
      </c>
      <c r="E12" s="25" t="inlineStr">
        <is>
          <t>Работник внутри, спасатели</t>
        </is>
      </c>
      <c r="F12" s="25" t="inlineStr">
        <is>
          <t>Потеря сознания, смертельный исход</t>
        </is>
      </c>
      <c r="G12" s="25" t="inlineStr">
        <is>
          <t>Анализ воздуха до входа; вентиляция</t>
        </is>
      </c>
      <c r="H12" s="25" t="inlineStr">
        <is>
          <t>Непрерывный газоконтроль (инж. / П); изолирующий СИЗОД (СИЗ / В); наблюдающий (орг. / В)</t>
        </is>
      </c>
      <c r="I12" s="25" t="inlineStr">
        <is>
          <t>5.4, 5.10</t>
        </is>
      </c>
      <c r="J12" s="26" t="inlineStr">
        <is>
          <t>Критично</t>
        </is>
      </c>
    </row>
    <row r="13" ht="23.25" customHeight="1" s="17">
      <c r="A13" s="25" t="inlineStr">
        <is>
          <t>Работа в замкнутом пространстве</t>
        </is>
      </c>
      <c r="B13" s="25" t="inlineStr">
        <is>
          <t>Взрыв / пожар внутри</t>
        </is>
      </c>
      <c r="C13" s="25" t="inlineStr">
        <is>
          <t>Всегда</t>
        </is>
      </c>
      <c r="D13" s="25" t="inlineStr">
        <is>
          <t>Высокая</t>
        </is>
      </c>
      <c r="E13" s="25" t="inlineStr">
        <is>
          <t>Работник внутри, бригада</t>
        </is>
      </c>
      <c r="F13" s="25" t="inlineStr">
        <is>
          <t>Ожоги, смертельный исход</t>
        </is>
      </c>
      <c r="G13" s="25" t="inlineStr">
        <is>
          <t>Освобождение от продукта, пропарка/продувка</t>
        </is>
      </c>
      <c r="H13" s="25" t="inlineStr">
        <is>
          <t>Взрывозащищённое освещение и инструмент (инж. / П)</t>
        </is>
      </c>
      <c r="I13" s="25" t="inlineStr">
        <is>
          <t>5.2, 5.3, 5.4</t>
        </is>
      </c>
      <c r="J13" s="26" t="inlineStr">
        <is>
          <t>Критично</t>
        </is>
      </c>
    </row>
    <row r="14" ht="23.25" customHeight="1" s="17">
      <c r="A14" s="25" t="inlineStr">
        <is>
          <t>Работа в замкнутом пространстве</t>
        </is>
      </c>
      <c r="B14" s="25" t="inlineStr">
        <is>
          <t>Затруднённая эвакуация пострадавшего</t>
        </is>
      </c>
      <c r="C14" s="25" t="inlineStr">
        <is>
          <t>Всегда</t>
        </is>
      </c>
      <c r="D14" s="25" t="inlineStr">
        <is>
          <t>Высокая</t>
        </is>
      </c>
      <c r="E14" s="25" t="inlineStr">
        <is>
          <t>Работник внутри</t>
        </is>
      </c>
      <c r="F14" s="25" t="inlineStr">
        <is>
          <t>Отягчение последствий</t>
        </is>
      </c>
      <c r="G14" s="25" t="inlineStr">
        <is>
          <t>Наблюдающий снаружи</t>
        </is>
      </c>
      <c r="H14" s="25" t="inlineStr">
        <is>
          <t>Страховочная привязь со спасательной верёвкой, средство подъёма (инж. / В)</t>
        </is>
      </c>
      <c r="I14" s="25" t="inlineStr">
        <is>
          <t>5.6, 5.9</t>
        </is>
      </c>
      <c r="J14" s="26" t="inlineStr">
        <is>
          <t>Критично</t>
        </is>
      </c>
    </row>
    <row r="15" ht="23.25" customHeight="1" s="17">
      <c r="A15" s="25" t="inlineStr">
        <is>
          <t>Работа в замкнутом пространстве</t>
        </is>
      </c>
      <c r="B15" s="25" t="inlineStr">
        <is>
          <t>Поражение током</t>
        </is>
      </c>
      <c r="C15" s="25" t="inlineStr">
        <is>
          <t>F20</t>
        </is>
      </c>
      <c r="D15" s="25" t="inlineStr">
        <is>
          <t>Высокая</t>
        </is>
      </c>
      <c r="E15" s="25" t="inlineStr">
        <is>
          <t>Работник внутри</t>
        </is>
      </c>
      <c r="F15" s="25" t="inlineStr">
        <is>
          <t>Электротравма</t>
        </is>
      </c>
      <c r="G15" s="25" t="inlineStr">
        <is>
          <t>Отключение электроприводов</t>
        </is>
      </c>
      <c r="H15" s="25" t="inlineStr">
        <is>
          <t>Безопасное напряжение переносного освещения по стандарту ОМГ (инж. / П)</t>
        </is>
      </c>
      <c r="I15" s="25" t="inlineStr">
        <is>
          <t>5.2, 5.10</t>
        </is>
      </c>
      <c r="J15" s="27" t="inlineStr">
        <is>
          <t>Существенно</t>
        </is>
      </c>
    </row>
    <row r="16" ht="23.25" customHeight="1" s="17">
      <c r="A16" s="25" t="inlineStr">
        <is>
          <t>Огневые работы</t>
        </is>
      </c>
      <c r="B16" s="25" t="inlineStr">
        <is>
          <t>Пожар / взрыв</t>
        </is>
      </c>
      <c r="C16" s="25" t="inlineStr">
        <is>
          <t>Всегда</t>
        </is>
      </c>
      <c r="D16" s="25" t="inlineStr">
        <is>
          <t>Высокая</t>
        </is>
      </c>
      <c r="E16" s="25" t="inlineStr">
        <is>
          <t>Бригада, персонал объекта</t>
        </is>
      </c>
      <c r="F16" s="25" t="inlineStr">
        <is>
          <t>Ожоги, смертельный исход</t>
        </is>
      </c>
      <c r="G16" s="25" t="inlineStr">
        <is>
          <t>Удаление горючих; ≥ 50 м от ЛВЖ/ВВ</t>
        </is>
      </c>
      <c r="H16" s="25" t="inlineStr">
        <is>
          <t>Анализ воздуха (инж. / П); средства пожаротушения на месте (инж. / В); наблюдающий за искрами (орг. / П)</t>
        </is>
      </c>
      <c r="I16" s="25" t="inlineStr">
        <is>
          <t>5.4, 5.5, 5.10</t>
        </is>
      </c>
      <c r="J16" s="26" t="inlineStr">
        <is>
          <t>Критично</t>
        </is>
      </c>
    </row>
    <row r="17" ht="15" customHeight="1" s="17">
      <c r="A17" s="25" t="inlineStr">
        <is>
          <t>Огневые работы</t>
        </is>
      </c>
      <c r="B17" s="25" t="inlineStr">
        <is>
          <t>Ожоги, брызги металла, излучение</t>
        </is>
      </c>
      <c r="C17" s="25" t="inlineStr">
        <is>
          <t>Всегда</t>
        </is>
      </c>
      <c r="D17" s="25" t="inlineStr">
        <is>
          <t>Средняя</t>
        </is>
      </c>
      <c r="E17" s="25" t="inlineStr">
        <is>
          <t>Сварщик, помощник</t>
        </is>
      </c>
      <c r="F17" s="25" t="inlineStr">
        <is>
          <t>Ожоги, поражение глаз</t>
        </is>
      </c>
      <c r="G17" s="25" t="inlineStr">
        <is>
          <t>Спецодежда сварщика, щиток</t>
        </is>
      </c>
      <c r="H17" s="25" t="inlineStr">
        <is>
          <t>Ширмы (инж. / П)</t>
        </is>
      </c>
      <c r="I17" s="25" t="inlineStr">
        <is>
          <t>5.10</t>
        </is>
      </c>
      <c r="J17" s="27" t="inlineStr">
        <is>
          <t>Существенно</t>
        </is>
      </c>
    </row>
    <row r="18" ht="15" customHeight="1" s="17">
      <c r="A18" s="25" t="inlineStr">
        <is>
          <t>Огневые работы</t>
        </is>
      </c>
      <c r="B18" s="25" t="inlineStr">
        <is>
          <t>Поражение током при электросварке</t>
        </is>
      </c>
      <c r="C18" s="25" t="inlineStr">
        <is>
          <t>F35</t>
        </is>
      </c>
      <c r="D18" s="25" t="inlineStr">
        <is>
          <t>Высокая</t>
        </is>
      </c>
      <c r="E18" s="25" t="inlineStr">
        <is>
          <t>Сварщик</t>
        </is>
      </c>
      <c r="F18" s="25" t="inlineStr">
        <is>
          <t>Электротравма</t>
        </is>
      </c>
      <c r="G18" s="25" t="inlineStr">
        <is>
          <t>Заземление, исправность кабелей</t>
        </is>
      </c>
      <c r="H18" s="25" t="inlineStr">
        <is>
          <t>Диэлектрический коврик в сырых местах (инж. / П)</t>
        </is>
      </c>
      <c r="I18" s="25" t="inlineStr">
        <is>
          <t>5.10</t>
        </is>
      </c>
      <c r="J18" s="27" t="inlineStr">
        <is>
          <t>Существенно</t>
        </is>
      </c>
    </row>
    <row r="19" ht="23.25" customHeight="1" s="17">
      <c r="A19" s="25" t="inlineStr">
        <is>
          <t>Огневые работы</t>
        </is>
      </c>
      <c r="B19" s="25" t="inlineStr">
        <is>
          <t>Отравление сварочными аэрозолями / газами</t>
        </is>
      </c>
      <c r="C19" s="25" t="inlineStr">
        <is>
          <t>Всегда</t>
        </is>
      </c>
      <c r="D19" s="25" t="inlineStr">
        <is>
          <t>Средняя</t>
        </is>
      </c>
      <c r="E19" s="25" t="inlineStr">
        <is>
          <t>Сварщик</t>
        </is>
      </c>
      <c r="F19" s="25" t="inlineStr">
        <is>
          <t>Отравление</t>
        </is>
      </c>
      <c r="G19" s="25" t="inlineStr">
        <is>
          <t>Проветривание</t>
        </is>
      </c>
      <c r="H19" s="25" t="inlineStr">
        <is>
          <t>Местная вытяжка (инж. / П)</t>
        </is>
      </c>
      <c r="I19" s="25" t="inlineStr">
        <is>
          <t>5.4, 5.10</t>
        </is>
      </c>
      <c r="J19" s="27" t="inlineStr">
        <is>
          <t>Существенно</t>
        </is>
      </c>
    </row>
    <row r="20" ht="23.25" customHeight="1" s="17">
      <c r="A20" s="25" t="inlineStr">
        <is>
          <t>Газоопасные работы</t>
        </is>
      </c>
      <c r="B20" s="25" t="inlineStr">
        <is>
          <t>Отравление (H2S, углеводороды)</t>
        </is>
      </c>
      <c r="C20" s="25" t="inlineStr">
        <is>
          <t>Всегда</t>
        </is>
      </c>
      <c r="D20" s="25" t="inlineStr">
        <is>
          <t>Высокая</t>
        </is>
      </c>
      <c r="E20" s="25" t="inlineStr">
        <is>
          <t>Бригада</t>
        </is>
      </c>
      <c r="F20" s="25" t="inlineStr">
        <is>
          <t>Отравление, смертельный исход</t>
        </is>
      </c>
      <c r="G20" s="25" t="inlineStr">
        <is>
          <t>Анализ воздуха; СИЗОД</t>
        </is>
      </c>
      <c r="H20" s="25" t="inlineStr">
        <is>
          <t>Непрерывный газоконтроль (инж. / П); наблюдающий (орг. / В)</t>
        </is>
      </c>
      <c r="I20" s="25" t="inlineStr">
        <is>
          <t>5.4, 5.10</t>
        </is>
      </c>
      <c r="J20" s="26" t="inlineStr">
        <is>
          <t>Критично</t>
        </is>
      </c>
    </row>
    <row r="21" ht="23.25" customHeight="1" s="17">
      <c r="A21" s="25" t="inlineStr">
        <is>
          <t>Газоопасные работы</t>
        </is>
      </c>
      <c r="B21" s="25" t="inlineStr">
        <is>
          <t>Взрыв / пожар</t>
        </is>
      </c>
      <c r="C21" s="25" t="inlineStr">
        <is>
          <t>Всегда</t>
        </is>
      </c>
      <c r="D21" s="25" t="inlineStr">
        <is>
          <t>Высокая</t>
        </is>
      </c>
      <c r="E21" s="25" t="inlineStr">
        <is>
          <t>Бригада, персонал объекта</t>
        </is>
      </c>
      <c r="F21" s="25" t="inlineStr">
        <is>
          <t>Ожоги, смертельный исход</t>
        </is>
      </c>
      <c r="G21" s="25" t="inlineStr">
        <is>
          <t>Заглушки; продувка</t>
        </is>
      </c>
      <c r="H21" s="25" t="inlineStr">
        <is>
          <t>Искробезопасный инструмент (инж. / П)</t>
        </is>
      </c>
      <c r="I21" s="25" t="inlineStr">
        <is>
          <t>5.2, 5.3</t>
        </is>
      </c>
      <c r="J21" s="26" t="inlineStr">
        <is>
          <t>Критично</t>
        </is>
      </c>
    </row>
    <row r="22" ht="23.25" customHeight="1" s="17">
      <c r="A22" s="25" t="inlineStr">
        <is>
          <t>Газоопасные работы</t>
        </is>
      </c>
      <c r="B22" s="25" t="inlineStr">
        <is>
          <t>Выброс среды под давлением</t>
        </is>
      </c>
      <c r="C22" s="25" t="inlineStr">
        <is>
          <t>F08</t>
        </is>
      </c>
      <c r="D22" s="25" t="inlineStr">
        <is>
          <t>Высокая</t>
        </is>
      </c>
      <c r="E22" s="25" t="inlineStr">
        <is>
          <t>Бригада</t>
        </is>
      </c>
      <c r="F22" s="25" t="inlineStr">
        <is>
          <t>Травмы, ожоги</t>
        </is>
      </c>
      <c r="G22" s="25" t="inlineStr">
        <is>
          <t>Сброс давления, отключение</t>
        </is>
      </c>
      <c r="H22" s="25" t="inlineStr">
        <is>
          <t>Контроль отсутствия давления перед вскрытием (орг. / П)</t>
        </is>
      </c>
      <c r="I22" s="25" t="inlineStr">
        <is>
          <t>5.2</t>
        </is>
      </c>
      <c r="J22" s="26" t="inlineStr">
        <is>
          <t>Критично</t>
        </is>
      </c>
    </row>
    <row r="23" ht="23.25" customHeight="1" s="17">
      <c r="A23" s="25" t="inlineStr">
        <is>
          <t>Работы на высоте</t>
        </is>
      </c>
      <c r="B23" s="25" t="inlineStr">
        <is>
          <t>Падение с высоты</t>
        </is>
      </c>
      <c r="C23" s="25" t="inlineStr">
        <is>
          <t>Всегда</t>
        </is>
      </c>
      <c r="D23" s="25" t="inlineStr">
        <is>
          <t>Высокая</t>
        </is>
      </c>
      <c r="E23" s="25" t="inlineStr">
        <is>
          <t>Работник на высоте</t>
        </is>
      </c>
      <c r="F23" s="25" t="inlineStr">
        <is>
          <t>Травмы, смертельный исход</t>
        </is>
      </c>
      <c r="G23" s="25" t="inlineStr">
        <is>
          <t>Ограждение рабочего места; страховочная система</t>
        </is>
      </c>
      <c r="H23" s="25" t="inlineStr">
        <is>
          <t>Анкерные точки с подтверждённой несущей способностью (инж. / П); план спасения (орг. / В)</t>
        </is>
      </c>
      <c r="I23" s="25" t="inlineStr">
        <is>
          <t>5.6</t>
        </is>
      </c>
      <c r="J23" s="26" t="inlineStr">
        <is>
          <t>Критично</t>
        </is>
      </c>
    </row>
    <row r="24" ht="15" customHeight="1" s="17">
      <c r="A24" s="25" t="inlineStr">
        <is>
          <t>Работы на высоте</t>
        </is>
      </c>
      <c r="B24" s="25" t="inlineStr">
        <is>
          <t>Падение предметов на людей внизу</t>
        </is>
      </c>
      <c r="C24" s="25" t="inlineStr">
        <is>
          <t>Всегда</t>
        </is>
      </c>
      <c r="D24" s="25" t="inlineStr">
        <is>
          <t>Средняя</t>
        </is>
      </c>
      <c r="E24" s="25" t="inlineStr">
        <is>
          <t>Персонал внизу</t>
        </is>
      </c>
      <c r="F24" s="25" t="inlineStr">
        <is>
          <t>Травмы головы</t>
        </is>
      </c>
      <c r="G24" s="25" t="inlineStr">
        <is>
          <t>Ограждение зоны по радиусу; каски</t>
        </is>
      </c>
      <c r="H24" s="25" t="inlineStr">
        <is>
          <t>Сумки для инструмента, страховка &gt; 10 кг (инж. / П)</t>
        </is>
      </c>
      <c r="I24" s="25" t="inlineStr">
        <is>
          <t>5.5, 5.10</t>
        </is>
      </c>
      <c r="J24" s="27" t="inlineStr">
        <is>
          <t>Существенно</t>
        </is>
      </c>
    </row>
    <row r="25" ht="23.25" customHeight="1" s="17">
      <c r="A25" s="25" t="inlineStr">
        <is>
          <t>Работы на высоте</t>
        </is>
      </c>
      <c r="B25" s="25" t="inlineStr">
        <is>
          <t>Неблагоприятные погодные условия</t>
        </is>
      </c>
      <c r="C25" s="25" t="inlineStr">
        <is>
          <t>Всегда</t>
        </is>
      </c>
      <c r="D25" s="25" t="inlineStr">
        <is>
          <t>Средняя</t>
        </is>
      </c>
      <c r="E25" s="25" t="inlineStr">
        <is>
          <t>Работник на высоте</t>
        </is>
      </c>
      <c r="F25" s="25" t="inlineStr">
        <is>
          <t>Падение, переохлаждение</t>
        </is>
      </c>
      <c r="G25" s="25" t="inlineStr">
        <is>
          <t>Стоп-условия (ветер ≥ 15 м/с, гроза, осадки, видимость)</t>
        </is>
      </c>
      <c r="H25" s="25" t="inlineStr">
        <is>
          <t>Контроль прогноза перед сменой (орг. / П)</t>
        </is>
      </c>
      <c r="I25" s="25" t="inlineStr">
        <is>
          <t>5.10</t>
        </is>
      </c>
      <c r="J25" s="27" t="inlineStr">
        <is>
          <t>Существенно</t>
        </is>
      </c>
    </row>
    <row r="26" ht="23.25" customHeight="1" s="17">
      <c r="A26" s="25" t="inlineStr">
        <is>
          <t>Работы на высоте</t>
        </is>
      </c>
      <c r="B26" s="25" t="inlineStr">
        <is>
          <t>Поражение током (ВЛ, электрооборудование)</t>
        </is>
      </c>
      <c r="C26" s="25" t="inlineStr">
        <is>
          <t>F02, F09</t>
        </is>
      </c>
      <c r="D26" s="25" t="inlineStr">
        <is>
          <t>Высокая</t>
        </is>
      </c>
      <c r="E26" s="25" t="inlineStr">
        <is>
          <t>Работник на высоте</t>
        </is>
      </c>
      <c r="F26" s="25" t="inlineStr">
        <is>
          <t>Электротравма</t>
        </is>
      </c>
      <c r="G26" s="25" t="inlineStr">
        <is>
          <t>Отключение, отдельный НД на ВЛ</t>
        </is>
      </c>
      <c r="H26" s="25" t="inlineStr">
        <is>
          <t>Контроль безопасного расстояния (орг. / П)</t>
        </is>
      </c>
      <c r="I26" s="25" t="inlineStr">
        <is>
          <t>5.2</t>
        </is>
      </c>
      <c r="J26" s="26" t="inlineStr">
        <is>
          <t>Критично</t>
        </is>
      </c>
    </row>
    <row r="27" ht="23.25" customHeight="1" s="17">
      <c r="A27" s="25" t="inlineStr">
        <is>
          <t>Другие работы повышенной опасности</t>
        </is>
      </c>
      <c r="B27" s="25" t="inlineStr">
        <is>
          <t>≥ 1 опасность по описанию работ</t>
        </is>
      </c>
      <c r="C27" s="25" t="inlineStr">
        <is>
          <t>Всегда</t>
        </is>
      </c>
      <c r="D27" s="25" t="inlineStr">
        <is>
          <t>По описанию</t>
        </is>
      </c>
      <c r="E27" s="25" t="inlineStr">
        <is>
          <t>По описанию</t>
        </is>
      </c>
      <c r="F27" s="25" t="inlineStr">
        <is>
          <t>По описанию</t>
        </is>
      </c>
      <c r="G27" s="25" t="inlineStr">
        <is>
          <t>—</t>
        </is>
      </c>
      <c r="H27" s="25" t="inlineStr">
        <is>
          <t>—</t>
        </is>
      </c>
      <c r="I27" s="25" t="inlineStr">
        <is>
          <t>по описанию</t>
        </is>
      </c>
      <c r="J27" s="26" t="inlineStr">
        <is>
          <t>Критично</t>
        </is>
      </c>
    </row>
  </sheetData>
  <autoFilter ref="A1:J2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16" min="1" max="1"/>
    <col width="32" customWidth="1" style="16" min="2" max="2"/>
    <col width="60" customWidth="1" style="16" min="3" max="3"/>
    <col width="22" customWidth="1" style="16" min="4" max="4"/>
  </cols>
  <sheetData>
    <row r="1" ht="23.25" customHeight="1" s="17">
      <c r="A1" s="24" t="inlineStr">
        <is>
          <t>Справочник</t>
        </is>
      </c>
      <c r="B1" s="24" t="inlineStr">
        <is>
          <t>Поле</t>
        </is>
      </c>
      <c r="C1" s="24" t="inlineStr">
        <is>
          <t>Значения</t>
        </is>
      </c>
      <c r="D1" s="24" t="inlineStr">
        <is>
          <t>Используется в правилах</t>
        </is>
      </c>
    </row>
    <row r="2" ht="15" customHeight="1" s="17">
      <c r="A2" s="25" t="inlineStr">
        <is>
          <t>Опасность</t>
        </is>
      </c>
      <c r="B2" s="25" t="inlineStr">
        <is>
          <t>Категории</t>
        </is>
      </c>
      <c r="C2" s="25" t="inlineStr">
        <is>
          <t>список категорий</t>
        </is>
      </c>
      <c r="D2" s="25" t="inlineStr">
        <is>
          <t>RA12, RA15</t>
        </is>
      </c>
    </row>
    <row r="3" ht="15" customHeight="1" s="17">
      <c r="A3" s="25" t="inlineStr">
        <is>
          <t>Опасность</t>
        </is>
      </c>
      <c r="B3" s="25" t="inlineStr">
        <is>
          <t>Обязательность</t>
        </is>
      </c>
      <c r="C3" s="25" t="inlineStr">
        <is>
          <t>Всегда / по фактору / нет</t>
        </is>
      </c>
      <c r="D3" s="25" t="inlineStr">
        <is>
          <t>RA12, RA13</t>
        </is>
      </c>
    </row>
    <row r="4" ht="15" customHeight="1" s="17">
      <c r="A4" s="25" t="inlineStr">
        <is>
          <t>Опасность</t>
        </is>
      </c>
      <c r="B4" s="25" t="inlineStr">
        <is>
          <t>Факторы</t>
        </is>
      </c>
      <c r="C4" s="25" t="inlineStr">
        <is>
          <t>коды F..</t>
        </is>
      </c>
      <c r="D4" s="25" t="inlineStr">
        <is>
          <t>RA13</t>
        </is>
      </c>
    </row>
    <row r="5" ht="23.25" customHeight="1" s="17">
      <c r="A5" s="25" t="inlineStr">
        <is>
          <t>Опасность</t>
        </is>
      </c>
      <c r="B5" s="25" t="inlineStr">
        <is>
          <t>Мин. тяжесть</t>
        </is>
      </c>
      <c r="C5" s="25" t="inlineStr">
        <is>
          <t>уровень: высокая / средняя / низкая → значение по шкале ОМГ (параметр P13)</t>
        </is>
      </c>
      <c r="D5" s="25" t="inlineStr">
        <is>
          <t>RA21</t>
        </is>
      </c>
    </row>
    <row r="6" ht="15" customHeight="1" s="17">
      <c r="A6" s="25" t="inlineStr">
        <is>
          <t>Опасность</t>
        </is>
      </c>
      <c r="B6" s="25" t="inlineStr">
        <is>
          <t>Допустимые «кто пострадает»</t>
        </is>
      </c>
      <c r="C6" s="25" t="inlineStr">
        <is>
          <t>ID справочника</t>
        </is>
      </c>
      <c r="D6" s="25" t="inlineStr">
        <is>
          <t>RA16</t>
        </is>
      </c>
    </row>
    <row r="7" ht="15" customHeight="1" s="17">
      <c r="A7" s="25" t="inlineStr">
        <is>
          <t>Опасность</t>
        </is>
      </c>
      <c r="B7" s="25" t="inlineStr">
        <is>
          <t>Допустимые «как пострадают»</t>
        </is>
      </c>
      <c r="C7" s="25" t="inlineStr">
        <is>
          <t>ID справочника</t>
        </is>
      </c>
      <c r="D7" s="25" t="inlineStr">
        <is>
          <t>RA16</t>
        </is>
      </c>
    </row>
    <row r="8" ht="15" customHeight="1" s="17">
      <c r="A8" s="25" t="inlineStr">
        <is>
          <t>Опасность</t>
        </is>
      </c>
      <c r="B8" s="25" t="inlineStr">
        <is>
          <t>Допустимые меры</t>
        </is>
      </c>
      <c r="C8" s="25" t="inlineStr">
        <is>
          <t>ID справочника мер</t>
        </is>
      </c>
      <c r="D8" s="25" t="inlineStr">
        <is>
          <t>RA17</t>
        </is>
      </c>
    </row>
    <row r="9" ht="15" customHeight="1" s="17">
      <c r="A9" s="25" t="inlineStr">
        <is>
          <t>Опасность</t>
        </is>
      </c>
      <c r="B9" s="25" t="inlineStr">
        <is>
          <t>Связанные пункты 5.x</t>
        </is>
      </c>
      <c r="C9" s="25" t="inlineStr">
        <is>
          <t>5.1…5.10</t>
        </is>
      </c>
      <c r="D9" s="25" t="inlineStr">
        <is>
          <t>RA18</t>
        </is>
      </c>
    </row>
    <row r="10" ht="15" customHeight="1" s="17">
      <c r="A10" s="25" t="inlineStr">
        <is>
          <t>Опасность</t>
        </is>
      </c>
      <c r="B10" s="25" t="inlineStr">
        <is>
          <t>Критичность при отсутствии</t>
        </is>
      </c>
      <c r="C10" s="25" t="inlineStr">
        <is>
          <t>Критично / Существенно</t>
        </is>
      </c>
      <c r="D10" s="25" t="inlineStr">
        <is>
          <t>RA12</t>
        </is>
      </c>
    </row>
    <row r="11" ht="15" customHeight="1" s="17">
      <c r="A11" s="25" t="inlineStr">
        <is>
          <t>Мера контроля</t>
        </is>
      </c>
      <c r="B11" s="25" t="inlineStr">
        <is>
          <t>Уровень иерархии</t>
        </is>
      </c>
      <c r="C11" s="25" t="inlineStr">
        <is>
          <t>устранение / замена / инженерная / организационная / СИЗ</t>
        </is>
      </c>
      <c r="D11" s="25" t="inlineStr">
        <is>
          <t>RA23</t>
        </is>
      </c>
    </row>
    <row r="12" ht="15" customHeight="1" s="17">
      <c r="A12" s="25" t="inlineStr">
        <is>
          <t>Мера контроля</t>
        </is>
      </c>
      <c r="B12" s="25" t="inlineStr">
        <is>
          <t>Влияет на</t>
        </is>
      </c>
      <c r="C12" s="25" t="inlineStr">
        <is>
          <t>П / В / П+В</t>
        </is>
      </c>
      <c r="D12" s="25" t="inlineStr">
        <is>
          <t>RA09</t>
        </is>
      </c>
    </row>
    <row r="13" ht="15" customHeight="1" s="17">
      <c r="A13" s="25" t="inlineStr">
        <is>
          <t>Мера контроля</t>
        </is>
      </c>
      <c r="B13" s="25" t="inlineStr">
        <is>
          <t>Связанные опасности</t>
        </is>
      </c>
      <c r="C13" s="25" t="inlineStr">
        <is>
          <t>список ID опасностей справочника</t>
        </is>
      </c>
      <c r="D13" s="25" t="inlineStr">
        <is>
          <t>RA17</t>
        </is>
      </c>
    </row>
    <row r="14" ht="15" customHeight="1" s="17">
      <c r="A14" s="25" t="inlineStr">
        <is>
          <t>Мера контроля</t>
        </is>
      </c>
      <c r="B14" s="25" t="inlineStr">
        <is>
          <t>Связанный пункт 5.x</t>
        </is>
      </c>
      <c r="C14" s="25" t="inlineStr">
        <is>
          <t>5.1…5.10</t>
        </is>
      </c>
      <c r="D14" s="25" t="inlineStr">
        <is>
          <t>RA20</t>
        </is>
      </c>
    </row>
    <row r="15" ht="15" customHeight="1" s="17">
      <c r="A15" s="25" t="inlineStr">
        <is>
          <t>Мера контроля</t>
        </is>
      </c>
      <c r="B15" s="25" t="inlineStr">
        <is>
          <t>Категории</t>
        </is>
      </c>
      <c r="C15" s="25" t="inlineStr">
        <is>
          <t>список категорий, где мера применима</t>
        </is>
      </c>
      <c r="D15" s="25" t="inlineStr">
        <is>
          <t>RA15 (для мер)</t>
        </is>
      </c>
    </row>
  </sheetData>
  <autoFilter ref="A1:D1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6" min="1" max="1"/>
    <col width="60" customWidth="1" style="16" min="2" max="2"/>
    <col width="16" customWidth="1" style="16" min="3" max="3"/>
    <col width="32" customWidth="1" style="16" min="4" max="4"/>
    <col width="28" customWidth="1" style="16" min="5" max="5"/>
  </cols>
  <sheetData>
    <row r="1" ht="30" customHeight="1" s="17">
      <c r="A1" s="24" t="inlineStr">
        <is>
          <t>Код</t>
        </is>
      </c>
      <c r="B1" s="24" t="inlineStr">
        <is>
          <t>Вопрос пользователю</t>
        </is>
      </c>
      <c r="C1" s="24" t="inlineStr">
        <is>
          <t>Категории</t>
        </is>
      </c>
      <c r="D1" s="24" t="inlineStr">
        <is>
          <t>Источник значения</t>
        </is>
      </c>
      <c r="E1" s="24" t="inlineStr">
        <is>
          <t>По умолчанию (ОМГ)</t>
        </is>
      </c>
    </row>
    <row r="2" ht="15" customHeight="1" s="17">
      <c r="A2" s="25" t="inlineStr">
        <is>
          <t>F01</t>
        </is>
      </c>
      <c r="B2" s="25" t="inlineStr">
        <is>
          <t>В зоне работ на высоте работают ГПМ / спецтехника?</t>
        </is>
      </c>
      <c r="C2" s="25" t="inlineStr">
        <is>
          <t>VS</t>
        </is>
      </c>
      <c r="D2" s="25" t="inlineStr">
        <is>
          <t>Пользователь</t>
        </is>
      </c>
      <c r="E2" s="25" t="inlineStr">
        <is>
          <t>—</t>
        </is>
      </c>
    </row>
    <row r="3" ht="23.25" customHeight="1" s="17">
      <c r="A3" s="25" t="inlineStr">
        <is>
          <t>F02</t>
        </is>
      </c>
      <c r="B3" s="25" t="inlineStr">
        <is>
          <t>ВЛ в радиусе 30 м от зоны работ / крана?</t>
        </is>
      </c>
      <c r="C3" s="25" t="inlineStr">
        <is>
          <t>Все</t>
        </is>
      </c>
      <c r="D3" s="25" t="inlineStr">
        <is>
          <t>Пользователь; профиль — «возможно»</t>
        </is>
      </c>
      <c r="E3" s="25" t="inlineStr">
        <is>
          <t>Спросить</t>
        </is>
      </c>
    </row>
    <row r="4" ht="23.25" customHeight="1" s="17">
      <c r="A4" s="25" t="inlineStr">
        <is>
          <t>F03</t>
        </is>
      </c>
      <c r="B4" s="25" t="inlineStr">
        <is>
          <t>Газоопасная зона (устье, насосная, колодец, ёмкость, траншея на объекте с газом)?</t>
        </is>
      </c>
      <c r="C4" s="25" t="inlineStr">
        <is>
          <t>Все</t>
        </is>
      </c>
      <c r="D4" s="25" t="inlineStr">
        <is>
          <t>Описание + профиль + пользователь</t>
        </is>
      </c>
      <c r="E4" s="25" t="inlineStr">
        <is>
          <t>Да для ЦДНГ, ЦППД (профиль)</t>
        </is>
      </c>
    </row>
    <row r="5" ht="15" customHeight="1" s="17">
      <c r="A5" s="25" t="inlineStr">
        <is>
          <t>F04</t>
        </is>
      </c>
      <c r="B5" s="25" t="inlineStr">
        <is>
          <t>Работы в тёмное время суток?</t>
        </is>
      </c>
      <c r="C5" s="25" t="inlineStr">
        <is>
          <t>Все</t>
        </is>
      </c>
      <c r="D5" s="25" t="inlineStr">
        <is>
          <t>Время работ (авто)</t>
        </is>
      </c>
      <c r="E5" s="25" t="inlineStr">
        <is>
          <t>По времени</t>
        </is>
      </c>
    </row>
    <row r="6" ht="15" customHeight="1" s="17">
      <c r="A6" s="25" t="inlineStr">
        <is>
          <t>F05</t>
        </is>
      </c>
      <c r="B6" s="25" t="inlineStr">
        <is>
          <t>Персонал на высоте ≥ 1,3 м при грузоподъёмных работах?</t>
        </is>
      </c>
      <c r="C6" s="25" t="inlineStr">
        <is>
          <t>GP</t>
        </is>
      </c>
      <c r="D6" s="25" t="inlineStr">
        <is>
          <t>Пользователь</t>
        </is>
      </c>
      <c r="E6" s="25" t="inlineStr">
        <is>
          <t>—</t>
        </is>
      </c>
    </row>
    <row r="7" ht="15" customHeight="1" s="17">
      <c r="A7" s="25" t="inlineStr">
        <is>
          <t>F06</t>
        </is>
      </c>
      <c r="B7" s="25" t="inlineStr">
        <is>
          <t>Спуск в колодец / вертикальный вход?</t>
        </is>
      </c>
      <c r="C7" s="25" t="inlineStr">
        <is>
          <t>ZP, GO, VS</t>
        </is>
      </c>
      <c r="D7" s="25" t="inlineStr">
        <is>
          <t>Пользователь</t>
        </is>
      </c>
      <c r="E7" s="25" t="inlineStr">
        <is>
          <t>—</t>
        </is>
      </c>
    </row>
    <row r="8" ht="15" customHeight="1" s="17">
      <c r="A8" s="25" t="inlineStr">
        <is>
          <t>F07</t>
        </is>
      </c>
      <c r="B8" s="25" t="inlineStr">
        <is>
          <t>Скважина со станком-качалкой?</t>
        </is>
      </c>
      <c r="C8" s="25" t="inlineStr">
        <is>
          <t>GP, VS</t>
        </is>
      </c>
      <c r="D8" s="25" t="inlineStr">
        <is>
          <t>Описание + пользователь</t>
        </is>
      </c>
      <c r="E8" s="25" t="inlineStr">
        <is>
          <t>—</t>
        </is>
      </c>
    </row>
    <row r="9" ht="15" customHeight="1" s="17">
      <c r="A9" s="25" t="inlineStr">
        <is>
          <t>F08</t>
        </is>
      </c>
      <c r="B9" s="25" t="inlineStr">
        <is>
          <t>Трубопроводы / оборудование под давлением в зоне?</t>
        </is>
      </c>
      <c r="C9" s="25" t="inlineStr">
        <is>
          <t>Все</t>
        </is>
      </c>
      <c r="D9" s="25" t="inlineStr">
        <is>
          <t>Профиль + пользователь</t>
        </is>
      </c>
      <c r="E9" s="25" t="inlineStr">
        <is>
          <t>Да для ЦДНГ, ЦППД</t>
        </is>
      </c>
    </row>
    <row r="10" ht="15" customHeight="1" s="17">
      <c r="A10" s="25" t="inlineStr">
        <is>
          <t>F09</t>
        </is>
      </c>
      <c r="B10" s="25" t="inlineStr">
        <is>
          <t>Электрооборудование в зоне?</t>
        </is>
      </c>
      <c r="C10" s="25" t="inlineStr">
        <is>
          <t>Все</t>
        </is>
      </c>
      <c r="D10" s="25" t="inlineStr">
        <is>
          <t>Профиль + пользователь</t>
        </is>
      </c>
      <c r="E10" s="25" t="inlineStr">
        <is>
          <t>Да для объектов промысла</t>
        </is>
      </c>
    </row>
    <row r="11" ht="15" customHeight="1" s="17">
      <c r="A11" s="25" t="inlineStr">
        <is>
          <t>F10</t>
        </is>
      </c>
      <c r="B11" s="25" t="inlineStr">
        <is>
          <t>Ж/д пути в зоне работ?</t>
        </is>
      </c>
      <c r="C11" s="25" t="inlineStr">
        <is>
          <t>Все</t>
        </is>
      </c>
      <c r="D11" s="25" t="inlineStr">
        <is>
          <t>Профиль организации</t>
        </is>
      </c>
      <c r="E11" s="25" t="inlineStr">
        <is>
          <t>Нет (ОМГ)</t>
        </is>
      </c>
    </row>
    <row r="12" ht="15" customHeight="1" s="17">
      <c r="A12" s="25" t="inlineStr">
        <is>
          <t>F11</t>
        </is>
      </c>
      <c r="B12" s="25" t="inlineStr">
        <is>
          <t>Тип ГПМ</t>
        </is>
      </c>
      <c r="C12" s="25" t="inlineStr">
        <is>
          <t>GP</t>
        </is>
      </c>
      <c r="D12" s="25" t="inlineStr">
        <is>
          <t>Пользователь</t>
        </is>
      </c>
      <c r="E12" s="25" t="inlineStr">
        <is>
          <t>—</t>
        </is>
      </c>
    </row>
    <row r="13" ht="15" customHeight="1" s="17">
      <c r="A13" s="25" t="inlineStr">
        <is>
          <t>F12</t>
        </is>
      </c>
      <c r="B13" s="25" t="inlineStr">
        <is>
          <t>Рядом работает другая техника / ГПМ?</t>
        </is>
      </c>
      <c r="C13" s="25" t="inlineStr">
        <is>
          <t>Все</t>
        </is>
      </c>
      <c r="D13" s="25" t="inlineStr">
        <is>
          <t>Пользователь</t>
        </is>
      </c>
      <c r="E13" s="25" t="inlineStr">
        <is>
          <t>—</t>
        </is>
      </c>
    </row>
    <row r="14" ht="15" customHeight="1" s="17">
      <c r="A14" s="25" t="inlineStr">
        <is>
          <t>F14</t>
        </is>
      </c>
      <c r="B14" s="25" t="inlineStr">
        <is>
          <t>Люлька / автовышка?</t>
        </is>
      </c>
      <c r="C14" s="25" t="inlineStr">
        <is>
          <t>GP, VS</t>
        </is>
      </c>
      <c r="D14" s="25" t="inlineStr">
        <is>
          <t>Пользователь</t>
        </is>
      </c>
      <c r="E14" s="25" t="inlineStr">
        <is>
          <t>—</t>
        </is>
      </c>
    </row>
    <row r="15" ht="15" customHeight="1" s="17">
      <c r="A15" s="25" t="inlineStr">
        <is>
          <t>F16</t>
        </is>
      </c>
      <c r="B15" s="25" t="inlineStr">
        <is>
          <t>Высота рабочего места</t>
        </is>
      </c>
      <c r="C15" s="25" t="inlineStr">
        <is>
          <t>VS, OG, ZP, GO</t>
        </is>
      </c>
      <c r="D15" s="25" t="inlineStr">
        <is>
          <t>Пользователь</t>
        </is>
      </c>
      <c r="E15" s="25" t="inlineStr">
        <is>
          <t>—</t>
        </is>
      </c>
    </row>
    <row r="16" ht="15" customHeight="1" s="17">
      <c r="A16" s="25" t="inlineStr">
        <is>
          <t>F19</t>
        </is>
      </c>
      <c r="B16" s="25" t="inlineStr">
        <is>
          <t>Совмещение с огневыми работами?</t>
        </is>
      </c>
      <c r="C16" s="25" t="inlineStr">
        <is>
          <t>VS, GP</t>
        </is>
      </c>
      <c r="D16" s="25" t="inlineStr">
        <is>
          <t>Пользователь</t>
        </is>
      </c>
      <c r="E16" s="25" t="inlineStr">
        <is>
          <t>—</t>
        </is>
      </c>
    </row>
    <row r="17" ht="15" customHeight="1" s="17">
      <c r="A17" s="25" t="inlineStr">
        <is>
          <t>F20</t>
        </is>
      </c>
      <c r="B17" s="25" t="inlineStr">
        <is>
          <t>Электроинструмент / переносное освещение?</t>
        </is>
      </c>
      <c r="C17" s="25" t="inlineStr">
        <is>
          <t>ZP, VS, OG</t>
        </is>
      </c>
      <c r="D17" s="25" t="inlineStr">
        <is>
          <t>Пользователь</t>
        </is>
      </c>
      <c r="E17" s="25" t="inlineStr">
        <is>
          <t>—</t>
        </is>
      </c>
    </row>
    <row r="18" ht="15" customHeight="1" s="17">
      <c r="A18" s="25" t="inlineStr">
        <is>
          <t>F25</t>
        </is>
      </c>
      <c r="B18" s="25" t="inlineStr">
        <is>
          <t>Предметы &gt; 10 кг на высоте?</t>
        </is>
      </c>
      <c r="C18" s="25" t="inlineStr">
        <is>
          <t>VS</t>
        </is>
      </c>
      <c r="D18" s="25" t="inlineStr">
        <is>
          <t>Пользователь</t>
        </is>
      </c>
      <c r="E18" s="25" t="inlineStr">
        <is>
          <t>—</t>
        </is>
      </c>
    </row>
    <row r="19" ht="15" customHeight="1" s="17">
      <c r="A19" s="25" t="inlineStr">
        <is>
          <t>F27</t>
        </is>
      </c>
      <c r="B19" s="25" t="inlineStr">
        <is>
          <t>Подземные коммуникации в зоне земляных работ?</t>
        </is>
      </c>
      <c r="C19" s="25" t="inlineStr">
        <is>
          <t>ZR</t>
        </is>
      </c>
      <c r="D19" s="25" t="inlineStr">
        <is>
          <t>Схема + пользователь</t>
        </is>
      </c>
      <c r="E19" s="25" t="inlineStr">
        <is>
          <t>Спросить</t>
        </is>
      </c>
    </row>
    <row r="20" ht="15" customHeight="1" s="17">
      <c r="A20" s="25" t="inlineStr">
        <is>
          <t>F28</t>
        </is>
      </c>
      <c r="B20" s="25" t="inlineStr">
        <is>
          <t>Глубина выемки, м</t>
        </is>
      </c>
      <c r="C20" s="25" t="inlineStr">
        <is>
          <t>ZR</t>
        </is>
      </c>
      <c r="D20" s="25" t="inlineStr">
        <is>
          <t>Пользователь (число)</t>
        </is>
      </c>
      <c r="E20" s="25" t="inlineStr">
        <is>
          <t>—</t>
        </is>
      </c>
    </row>
    <row r="21" ht="15" customHeight="1" s="17">
      <c r="A21" s="25" t="inlineStr">
        <is>
          <t>F29</t>
        </is>
      </c>
      <c r="B21" s="25" t="inlineStr">
        <is>
          <t>Механизированная разработка грунта?</t>
        </is>
      </c>
      <c r="C21" s="25" t="inlineStr">
        <is>
          <t>ZR</t>
        </is>
      </c>
      <c r="D21" s="25" t="inlineStr">
        <is>
          <t>Пользователь</t>
        </is>
      </c>
      <c r="E21" s="25" t="inlineStr">
        <is>
          <t>—</t>
        </is>
      </c>
    </row>
    <row r="22" ht="15" customHeight="1" s="17">
      <c r="A22" s="25" t="inlineStr">
        <is>
          <t>F31</t>
        </is>
      </c>
      <c r="B22" s="25" t="inlineStr">
        <is>
          <t>Огневые работы внутри ёмкости / аппарата?</t>
        </is>
      </c>
      <c r="C22" s="25" t="inlineStr">
        <is>
          <t>ZP, OG</t>
        </is>
      </c>
      <c r="D22" s="25" t="inlineStr">
        <is>
          <t>Пользователь</t>
        </is>
      </c>
      <c r="E22" s="25" t="inlineStr">
        <is>
          <t>—</t>
        </is>
      </c>
    </row>
    <row r="23" ht="15" customHeight="1" s="17">
      <c r="A23" s="25" t="inlineStr">
        <is>
          <t>F32</t>
        </is>
      </c>
      <c r="B23" s="25" t="inlineStr">
        <is>
          <t>Вскрытие трубопровода / оборудования с продуктом?</t>
        </is>
      </c>
      <c r="C23" s="25" t="inlineStr">
        <is>
          <t>ZR, OG, GO</t>
        </is>
      </c>
      <c r="D23" s="25" t="inlineStr">
        <is>
          <t>Описание + пользователь</t>
        </is>
      </c>
      <c r="E23" s="25" t="inlineStr">
        <is>
          <t>—</t>
        </is>
      </c>
    </row>
    <row r="24" ht="15" customHeight="1" s="17">
      <c r="A24" s="25" t="inlineStr">
        <is>
          <t>F33</t>
        </is>
      </c>
      <c r="B24" s="25" t="inlineStr">
        <is>
          <t>Сероводород на объекте?</t>
        </is>
      </c>
      <c r="C24" s="25" t="inlineStr">
        <is>
          <t>Все</t>
        </is>
      </c>
      <c r="D24" s="25" t="inlineStr">
        <is>
          <t>Профиль подразделения</t>
        </is>
      </c>
      <c r="E24" s="25" t="inlineStr">
        <is>
          <t>По профилю</t>
        </is>
      </c>
    </row>
    <row r="25" ht="15" customHeight="1" s="17">
      <c r="A25" s="25" t="inlineStr">
        <is>
          <t>F34</t>
        </is>
      </c>
      <c r="B25" s="25" t="inlineStr">
        <is>
          <t>Места применения / складирования ЛВЖ, ВВ ближе 50 м?</t>
        </is>
      </c>
      <c r="C25" s="25" t="inlineStr">
        <is>
          <t>OG</t>
        </is>
      </c>
      <c r="D25" s="25" t="inlineStr">
        <is>
          <t>Пользователь</t>
        </is>
      </c>
      <c r="E25" s="25" t="inlineStr">
        <is>
          <t>Спросить</t>
        </is>
      </c>
    </row>
    <row r="26" ht="15" customHeight="1" s="17">
      <c r="A26" s="25" t="inlineStr">
        <is>
          <t>F35</t>
        </is>
      </c>
      <c r="B26" s="25" t="inlineStr">
        <is>
          <t>Вид огневых работ: электросварка / газосварка / резка / другое</t>
        </is>
      </c>
      <c r="C26" s="25" t="inlineStr">
        <is>
          <t>OG</t>
        </is>
      </c>
      <c r="D26" s="25" t="inlineStr">
        <is>
          <t>Пользователь</t>
        </is>
      </c>
      <c r="E26" s="25" t="inlineStr">
        <is>
          <t>—</t>
        </is>
      </c>
    </row>
    <row r="27" ht="15" customHeight="1" s="17">
      <c r="A27" s="25" t="inlineStr">
        <is>
          <t>F36</t>
        </is>
      </c>
      <c r="B27" s="25" t="inlineStr">
        <is>
          <t>Работы в охранной зоне трубопровода / ЛЭП?</t>
        </is>
      </c>
      <c r="C27" s="25" t="inlineStr">
        <is>
          <t>ZR</t>
        </is>
      </c>
      <c r="D27" s="25" t="inlineStr">
        <is>
          <t>Схема + пользователь</t>
        </is>
      </c>
      <c r="E27" s="25" t="inlineStr">
        <is>
          <t>Спросить</t>
        </is>
      </c>
    </row>
    <row r="28" ht="15" customHeight="1" s="17">
      <c r="A28" s="25" t="inlineStr">
        <is>
          <t>F38</t>
        </is>
      </c>
      <c r="B28" s="25" t="inlineStr">
        <is>
          <t>Одновременно несколько подрядных организаций на объекте?</t>
        </is>
      </c>
      <c r="C28" s="25" t="inlineStr">
        <is>
          <t>Все</t>
        </is>
      </c>
      <c r="D28" s="25" t="inlineStr">
        <is>
          <t>Пользователь</t>
        </is>
      </c>
      <c r="E28" s="25" t="inlineStr">
        <is>
          <t>—</t>
        </is>
      </c>
    </row>
  </sheetData>
  <autoFilter ref="A1:E2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6" min="1" max="1"/>
    <col width="70" customWidth="1" style="16" min="2" max="2"/>
    <col width="20" customWidth="1" style="16" min="3" max="3"/>
    <col width="32" customWidth="1" style="16" min="4" max="4"/>
  </cols>
  <sheetData>
    <row r="1" ht="30" customHeight="1" s="17">
      <c r="A1" s="24" t="inlineStr">
        <is>
          <t>Группа</t>
        </is>
      </c>
      <c r="B1" s="24" t="inlineStr">
        <is>
          <t>Маркеры (основы слов)</t>
        </is>
      </c>
      <c r="C1" s="24" t="inlineStr">
        <is>
          <t>Разрешено в категориях</t>
        </is>
      </c>
      <c r="D1" s="24" t="inlineStr">
        <is>
          <t>Разрешено при факторах</t>
        </is>
      </c>
    </row>
    <row r="2" ht="23.25" customHeight="1" s="17">
      <c r="A2" s="25" t="inlineStr">
        <is>
          <t>Огневые</t>
        </is>
      </c>
      <c r="B2" s="25" t="inlineStr">
        <is>
          <t>сварк, электрод, огарк, искр, газорез, резак, резк, пропан, ацетилен, горелк, пламя, краги, термостойк</t>
        </is>
      </c>
      <c r="C2" s="25" t="inlineStr">
        <is>
          <t>OG</t>
        </is>
      </c>
      <c r="D2" s="25" t="inlineStr">
        <is>
          <t>F19, F31, F35</t>
        </is>
      </c>
    </row>
    <row r="3" ht="15" customHeight="1" s="17">
      <c r="A3" s="25" t="inlineStr">
        <is>
          <t>Грузоподъёмные</t>
        </is>
      </c>
      <c r="B3" s="25" t="inlineStr">
        <is>
          <t>строп, кран, грузоподъ, аутригер, выносн опор, стрел, крюк, траверс, такелаж</t>
        </is>
      </c>
      <c r="C3" s="25" t="inlineStr">
        <is>
          <t>GP</t>
        </is>
      </c>
      <c r="D3" s="25" t="inlineStr">
        <is>
          <t>F01, F11, F12</t>
        </is>
      </c>
    </row>
    <row r="4" ht="23.25" customHeight="1" s="17">
      <c r="A4" s="25" t="inlineStr">
        <is>
          <t>Высота</t>
        </is>
      </c>
      <c r="B4" s="25" t="inlineStr">
        <is>
          <t>страховочн, привязь, предохранительн пояс, карабин, анкер, люльк, автовышк, подмост, леса, стремянк, приставн лестниц</t>
        </is>
      </c>
      <c r="C4" s="25" t="inlineStr">
        <is>
          <t>VS</t>
        </is>
      </c>
      <c r="D4" s="25" t="inlineStr">
        <is>
          <t>F05, F06, F14, F16, F28</t>
        </is>
      </c>
    </row>
    <row r="5" ht="23.25" customHeight="1" s="17">
      <c r="A5" s="25" t="inlineStr">
        <is>
          <t>Замкнутое пространство</t>
        </is>
      </c>
      <c r="B5" s="25" t="inlineStr">
        <is>
          <t>горловин, внутрь ёмкост, внутри аппарат, лаз, тренога, сигнально-спасательн, шлангов противогаз</t>
        </is>
      </c>
      <c r="C5" s="25" t="inlineStr">
        <is>
          <t>ZP</t>
        </is>
      </c>
      <c r="D5" s="25" t="inlineStr">
        <is>
          <t>F06, F31</t>
        </is>
      </c>
    </row>
    <row r="6" ht="23.25" customHeight="1" s="17">
      <c r="A6" s="25" t="inlineStr">
        <is>
          <t>Газоопасные</t>
        </is>
      </c>
      <c r="B6" s="25" t="inlineStr">
        <is>
          <t>газоанализ, ПДК, НКПР, сероводород, H2S, СИЗОД, противогаз, загазован, продувк, дегазац</t>
        </is>
      </c>
      <c r="C6" s="25" t="inlineStr">
        <is>
          <t>GO, ZP</t>
        </is>
      </c>
      <c r="D6" s="25" t="inlineStr">
        <is>
          <t>F03 (допускается в любой категории при F03)</t>
        </is>
      </c>
    </row>
    <row r="7" ht="23.25" customHeight="1" s="17">
      <c r="A7" s="25" t="inlineStr">
        <is>
          <t>Земляные</t>
        </is>
      </c>
      <c r="B7" s="25" t="inlineStr">
        <is>
          <t>траншея, котлован, шурф, откос, крепление стенок, бровк, экскаватор, отвал грунт</t>
        </is>
      </c>
      <c r="C7" s="25" t="inlineStr">
        <is>
          <t>ZR</t>
        </is>
      </c>
      <c r="D7" s="25" t="inlineStr">
        <is>
          <t>F27, F28</t>
        </is>
      </c>
    </row>
    <row r="8" ht="23.25" customHeight="1" s="17">
      <c r="A8" s="25" t="inlineStr">
        <is>
          <t>Электроустановки</t>
        </is>
      </c>
      <c r="B8" s="25" t="inlineStr">
        <is>
          <t>проверка отсутствия напряжения, указатель напряжения, переносное заземление, диэлектрич</t>
        </is>
      </c>
      <c r="C8" s="25" t="inlineStr">
        <is>
          <t>(вид «Электроустановки»)</t>
        </is>
      </c>
      <c r="D8" s="25" t="inlineStr">
        <is>
          <t>F09 (частично)</t>
        </is>
      </c>
    </row>
    <row r="9" ht="23.25" customHeight="1" s="17">
      <c r="A9" s="25" t="inlineStr">
        <is>
          <t>Ж/д пути</t>
        </is>
      </c>
      <c r="B9" s="25" t="inlineStr">
        <is>
          <t>рельс, железнодорож, ж/д, дистанци пути, сигнальщик-маневров, башмак тормозн</t>
        </is>
      </c>
      <c r="C9" s="25" t="inlineStr">
        <is>
          <t>—</t>
        </is>
      </c>
      <c r="D9" s="25" t="inlineStr">
        <is>
          <t>F10</t>
        </is>
      </c>
    </row>
    <row r="10" ht="23.25" customHeight="1" s="17">
      <c r="A10" s="25" t="inlineStr">
        <is>
          <t>Аварийные действия</t>
        </is>
      </c>
      <c r="B10" s="25" t="inlineStr">
        <is>
          <t>при пожаре, при аварии, вызвать скорую, эвакуировать пострадавш, первую помощь</t>
        </is>
      </c>
      <c r="C10" s="25" t="inlineStr">
        <is>
          <t>—</t>
        </is>
      </c>
      <c r="D10" s="25" t="inlineStr">
        <is>
          <t>— (N10)</t>
        </is>
      </c>
    </row>
    <row r="11" ht="23.25" customHeight="1" s="17">
      <c r="A11" s="25" t="inlineStr">
        <is>
          <t>Окончание работ</t>
        </is>
      </c>
      <c r="B11" s="25" t="inlineStr">
        <is>
          <t>по окончании работ, после окончания, сдать СИЗ, закрыть наряд, убрать инструмент</t>
        </is>
      </c>
      <c r="C11" s="25" t="inlineStr">
        <is>
          <t>—</t>
        </is>
      </c>
      <c r="D11" s="25" t="inlineStr">
        <is>
          <t>— (N10)</t>
        </is>
      </c>
    </row>
  </sheetData>
  <autoFilter ref="A1:D1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C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16" min="1" max="1"/>
    <col width="90" customWidth="1" style="16" min="2" max="2"/>
    <col width="14" customWidth="1" style="16" min="3" max="3"/>
  </cols>
  <sheetData>
    <row r="1" ht="30" customHeight="1" s="17">
      <c r="A1" s="24" t="inlineStr">
        <is>
          <t>Группа</t>
        </is>
      </c>
      <c r="B1" s="24" t="inlineStr">
        <is>
          <t>Значения</t>
        </is>
      </c>
      <c r="C1" s="24" t="inlineStr">
        <is>
          <t>Правило</t>
        </is>
      </c>
    </row>
    <row r="2" ht="15" customHeight="1" s="17">
      <c r="A2" s="25" t="inlineStr">
        <is>
          <t>Заглушки</t>
        </is>
      </c>
      <c r="B2" s="25" t="inlineStr">
        <is>
          <t>test, тест, testtest, asdf, qwe, йцук, xxx, ххх, ааа, 123, ok, ок, «.», «?», «-» в ядре</t>
        </is>
      </c>
      <c r="C2" s="25" t="inlineStr">
        <is>
          <t>S02</t>
        </is>
      </c>
    </row>
    <row r="3" ht="23.25" customHeight="1" s="17">
      <c r="A3" s="25" t="inlineStr">
        <is>
          <t>Нормы РФ</t>
        </is>
      </c>
      <c r="B3" s="25" t="inlineStr">
        <is>
          <t>Минтруда России, Минтруд РФ, Ростехнадзор, ФНП, ПОТ РО, СНиП 12-, приказ № 782н, 903н, 835н, 328н, 528, «Правила по охране труда при работе на высоте» (РФ), 15 календарных дней, 1,8 м</t>
        </is>
      </c>
      <c r="C3" s="25" t="inlineStr">
        <is>
          <t>N11</t>
        </is>
      </c>
    </row>
    <row r="4" ht="23.25" customHeight="1" s="17">
      <c r="A4" s="25" t="inlineStr">
        <is>
          <t>Устаревшие формулировки справочника</t>
        </is>
      </c>
      <c r="B4" s="25" t="inlineStr">
        <is>
          <t>«нормы местных органов» (температура), «смежных пролётах» (цеховая терминология для промысла)</t>
        </is>
      </c>
      <c r="C4" s="25" t="inlineStr">
        <is>
          <t>VS-03, справочник</t>
        </is>
      </c>
    </row>
  </sheetData>
  <autoFilter ref="A1:C4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6" min="1" max="1"/>
    <col width="45" customWidth="1" style="16" min="2" max="2"/>
    <col width="50" customWidth="1" style="16" min="3" max="3"/>
    <col width="26" customWidth="1" style="16" min="4" max="4"/>
    <col width="18" customWidth="1" style="16" min="5" max="5"/>
  </cols>
  <sheetData>
    <row r="1" ht="30" customHeight="1" s="17">
      <c r="A1" s="24" t="inlineStr">
        <is>
          <t>Код</t>
        </is>
      </c>
      <c r="B1" s="24" t="inlineStr">
        <is>
          <t>Параметр</t>
        </is>
      </c>
      <c r="C1" s="24" t="inlineStr">
        <is>
          <t>Значение</t>
        </is>
      </c>
      <c r="D1" s="24" t="inlineStr">
        <is>
          <t>Источник</t>
        </is>
      </c>
      <c r="E1" s="24" t="inlineStr">
        <is>
          <t>Статус</t>
        </is>
      </c>
    </row>
    <row r="2" ht="15" customHeight="1" s="17">
      <c r="A2" s="25" t="inlineStr">
        <is>
          <t>P01</t>
        </is>
      </c>
      <c r="B2" s="25" t="inlineStr">
        <is>
          <t>Порог работы на высоте</t>
        </is>
      </c>
      <c r="C2" s="25" t="inlineStr">
        <is>
          <t>1,3 м (и &lt; 2 м от перепада)</t>
        </is>
      </c>
      <c r="D2" s="25" t="inlineStr">
        <is>
          <t>№ 109, п. 2</t>
        </is>
      </c>
      <c r="E2" s="25" t="inlineStr">
        <is>
          <t>Сверено</t>
        </is>
      </c>
    </row>
    <row r="3" ht="15" customHeight="1" s="17">
      <c r="A3" s="25" t="inlineStr">
        <is>
          <t>P02</t>
        </is>
      </c>
      <c r="B3" s="25" t="inlineStr">
        <is>
          <t>Ветер — запрет работ на высоте</t>
        </is>
      </c>
      <c r="C3" s="25" t="inlineStr">
        <is>
          <t>≥ 15 м/с</t>
        </is>
      </c>
      <c r="D3" s="25" t="inlineStr">
        <is>
          <t>№ 109, п. 4</t>
        </is>
      </c>
      <c r="E3" s="25" t="inlineStr">
        <is>
          <t>Сверено</t>
        </is>
      </c>
    </row>
    <row r="4" ht="23.25" customHeight="1" s="17">
      <c r="A4" s="25" t="inlineStr">
        <is>
          <t>P03</t>
        </is>
      </c>
      <c r="B4" s="25" t="inlineStr">
        <is>
          <t>Радиус ограждения при высоте работ</t>
        </is>
      </c>
      <c r="C4" s="25" t="inlineStr">
        <is>
          <t>≤10 м → 4 м; ≤20 → 7; ≤50 → 10; ≤100 → 12,5; ≤150 → 20; ≤200 → 25; &gt;200 → 30</t>
        </is>
      </c>
      <c r="D4" s="25" t="inlineStr">
        <is>
          <t>№ 109, п. 77</t>
        </is>
      </c>
      <c r="E4" s="25" t="inlineStr">
        <is>
          <t>Сверено</t>
        </is>
      </c>
    </row>
    <row r="5" ht="15" customHeight="1" s="17">
      <c r="A5" s="25" t="inlineStr">
        <is>
          <t>P04</t>
        </is>
      </c>
      <c r="B5" s="25" t="inlineStr">
        <is>
          <t>Предметы на высоте с независимой страховкой</t>
        </is>
      </c>
      <c r="C5" s="25" t="inlineStr">
        <is>
          <t>&gt; 10 кг</t>
        </is>
      </c>
      <c r="D5" s="25" t="inlineStr">
        <is>
          <t>№ 109, п. 85</t>
        </is>
      </c>
      <c r="E5" s="25" t="inlineStr">
        <is>
          <t>Сверено</t>
        </is>
      </c>
    </row>
    <row r="6" ht="15" customHeight="1" s="17">
      <c r="A6" s="25" t="inlineStr">
        <is>
          <t>P05</t>
        </is>
      </c>
      <c r="B6" s="25" t="inlineStr">
        <is>
          <t>Огневые работы — удаление от ЛВЖ/ВВ</t>
        </is>
      </c>
      <c r="C6" s="25" t="inlineStr">
        <is>
          <t>≥ 50 м</t>
        </is>
      </c>
      <c r="D6" s="25" t="inlineStr">
        <is>
          <t>№ 355, п. 32</t>
        </is>
      </c>
      <c r="E6" s="25" t="inlineStr">
        <is>
          <t>Сверено</t>
        </is>
      </c>
    </row>
    <row r="7" ht="15" customHeight="1" s="17">
      <c r="A7" s="25" t="inlineStr">
        <is>
          <t>P06</t>
        </is>
      </c>
      <c r="B7" s="25" t="inlineStr">
        <is>
          <t>Ограждение траншей, котлованов</t>
        </is>
      </c>
      <c r="C7" s="25" t="inlineStr">
        <is>
          <t>≥ 1 м или защитное покрытие</t>
        </is>
      </c>
      <c r="D7" s="25" t="inlineStr">
        <is>
          <t>№ 355, п. 128</t>
        </is>
      </c>
      <c r="E7" s="25" t="inlineStr">
        <is>
          <t>Сверено</t>
        </is>
      </c>
    </row>
    <row r="8" ht="15" customHeight="1" s="17">
      <c r="A8" s="25" t="inlineStr">
        <is>
          <t>P07</t>
        </is>
      </c>
      <c r="B8" s="25" t="inlineStr">
        <is>
          <t>Работа крана вблизи ВЛ — отдельный НД</t>
        </is>
      </c>
      <c r="C8" s="25" t="inlineStr">
        <is>
          <t>30 м</t>
        </is>
      </c>
      <c r="D8" s="25" t="inlineStr">
        <is>
          <t>Правила ГПМ № 359</t>
        </is>
      </c>
      <c r="E8" s="25" t="inlineStr">
        <is>
          <t>Сверить пункт</t>
        </is>
      </c>
    </row>
    <row r="9" ht="23.25" customHeight="1" s="17">
      <c r="A9" s="25" t="inlineStr">
        <is>
          <t>P08</t>
        </is>
      </c>
      <c r="B9" s="25" t="inlineStr">
        <is>
          <t>Глубина выемки без крепления по видам грунта</t>
        </is>
      </c>
      <c r="C9" s="25" t="inlineStr">
        <is>
          <t>—</t>
        </is>
      </c>
      <c r="D9" s="25" t="inlineStr">
        <is>
          <t>СН РК 1.03-05-2011</t>
        </is>
      </c>
      <c r="E9" s="25" t="inlineStr">
        <is>
          <t>Сверить и заполнить</t>
        </is>
      </c>
    </row>
    <row r="10" ht="23.25" customHeight="1" s="17">
      <c r="A10" s="32" t="inlineStr">
        <is>
          <t>P09</t>
        </is>
      </c>
      <c r="B10" s="32" t="inlineStr">
        <is>
          <t>Тёплый период для правила N03 (Мангистауская обл.)</t>
        </is>
      </c>
      <c r="C10" s="32" t="inlineStr">
        <is>
          <t>Тёплый период 15.04–15.10, холодный 15.11–15.03; в переходные даты N03 не срабатывает</t>
        </is>
      </c>
      <c r="D10" s="32" t="inlineStr">
        <is>
          <t>Параметр ОМГ</t>
        </is>
      </c>
      <c r="E10" s="32" t="inlineStr">
        <is>
          <t>Пилотное значение — утвердить HSE ОМГ</t>
        </is>
      </c>
    </row>
    <row r="11" ht="15" customHeight="1" s="17">
      <c r="A11" s="32" t="inlineStr">
        <is>
          <t>P10</t>
        </is>
      </c>
      <c r="B11" s="32" t="inlineStr">
        <is>
          <t>Шкалы В, П и пороги зон риска</t>
        </is>
      </c>
      <c r="C11" s="32" t="inlineStr">
        <is>
          <t>В и П: 1–5; Р = В×П; допустимо 1–4, нужны доп. меры 5–14, недопустимо 15–25</t>
        </is>
      </c>
      <c r="D11" s="32" t="inlineStr">
        <is>
          <t>Стандарт КМГ / ОМГ</t>
        </is>
      </c>
      <c r="E11" s="32" t="inlineStr">
        <is>
          <t>Пилотное значение — утвердить HSE ОМГ</t>
        </is>
      </c>
    </row>
    <row r="12" ht="23.25" customHeight="1" s="17">
      <c r="A12" s="32" t="inlineStr">
        <is>
          <t>P11</t>
        </is>
      </c>
      <c r="B12" s="32" t="inlineStr">
        <is>
          <t>Противопожарная служба для огневых работ на объектах ОМГ</t>
        </is>
      </c>
      <c r="C12" s="32" t="inlineStr">
        <is>
          <t>Огневые работы: флаг «Профессиональная противопожарная служба» = Да, если F03, F31 или F34 = Да; критичность — существенно до утверждения</t>
        </is>
      </c>
      <c r="D12" s="32" t="inlineStr">
        <is>
          <t>Стандарт ОМГ</t>
        </is>
      </c>
      <c r="E12" s="32" t="inlineStr">
        <is>
          <t>Пилотное значение — утвердить HSE ОМГ</t>
        </is>
      </c>
    </row>
    <row r="13" ht="15" customHeight="1" s="17">
      <c r="A13" s="32" t="inlineStr">
        <is>
          <t>P12</t>
        </is>
      </c>
      <c r="B13" s="32" t="inlineStr">
        <is>
          <t>Порог длины записи (S16)</t>
        </is>
      </c>
      <c r="C13" s="32" t="inlineStr">
        <is>
          <t>1500 символов</t>
        </is>
      </c>
      <c r="D13" s="32" t="inlineStr">
        <is>
          <t>Параметр системы</t>
        </is>
      </c>
      <c r="E13" s="32" t="inlineStr">
        <is>
          <t>Задать</t>
        </is>
      </c>
    </row>
    <row r="14" ht="15" customHeight="1" s="17">
      <c r="A14" s="32" t="inlineStr">
        <is>
          <t>P13</t>
        </is>
      </c>
      <c r="B14" s="32" t="inlineStr">
        <is>
          <t>Соответствие уровней тяжести шкале ОМГ</t>
        </is>
      </c>
      <c r="C14" s="32" t="inlineStr">
        <is>
          <t>высокая → В ≥ 4, средняя → В ≥ 3, низкая → без проверки</t>
        </is>
      </c>
      <c r="D14" s="32" t="inlineStr">
        <is>
          <t>Стандарт КМГ / ОМГ</t>
        </is>
      </c>
      <c r="E14" s="32" t="inlineStr">
        <is>
          <t>Пилотное значение — утвердить HSE ОМГ</t>
        </is>
      </c>
    </row>
    <row r="15" ht="23.25" customHeight="1" s="17">
      <c r="A15" s="32" t="inlineStr">
        <is>
          <t>P14</t>
        </is>
      </c>
      <c r="B15" s="32" t="inlineStr">
        <is>
          <t>Порог Р для обязательной связи с разделом 5 (RA18)</t>
        </is>
      </c>
      <c r="C15" s="32" t="inlineStr">
        <is>
          <t>Р ≥ 5 (начало зоны «нужны доп. меры»)</t>
        </is>
      </c>
      <c r="D15" s="32" t="inlineStr">
        <is>
          <t>Параметр ОМГ</t>
        </is>
      </c>
      <c r="E15" s="32" t="inlineStr">
        <is>
          <t>Пилотное значение — утвердить HSE ОМГ</t>
        </is>
      </c>
    </row>
    <row r="16">
      <c r="A16" s="32" t="inlineStr">
        <is>
          <t>P15</t>
        </is>
      </c>
      <c r="B16" s="32" t="inlineStr">
        <is>
          <t>«Когда внедрить» = до начала работ (для RA25)</t>
        </is>
      </c>
      <c r="C16" s="32" t="inlineStr">
        <is>
          <t>ID значений «Когда внедрить», означающих «до начала работ» — из справочника HSE; пока пусто, RA25 не срабатывает</t>
        </is>
      </c>
      <c r="D16" s="32" t="inlineStr">
        <is>
          <t>Справочник HSE</t>
        </is>
      </c>
      <c r="E16" s="32" t="inlineStr">
        <is>
          <t>Заполнить ID из справочника HSE</t>
        </is>
      </c>
    </row>
  </sheetData>
  <autoFilter ref="A1:E1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C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16" min="1" max="1"/>
    <col width="90" customWidth="1" style="16" min="2" max="2"/>
    <col width="50" customWidth="1" style="16" min="3" max="3"/>
  </cols>
  <sheetData>
    <row r="1" ht="30" customHeight="1" s="17">
      <c r="A1" s="24" t="inlineStr">
        <is>
          <t>Код</t>
        </is>
      </c>
      <c r="B1" s="24" t="inlineStr">
        <is>
          <t>Документ</t>
        </is>
      </c>
      <c r="C1" s="24" t="inlineStr">
        <is>
          <t>Ссылка</t>
        </is>
      </c>
    </row>
    <row r="2" ht="23.25" customHeight="1" s="17">
      <c r="A2" s="25" t="inlineStr">
        <is>
          <t>№ 344</t>
        </is>
      </c>
      <c r="B2" s="25" t="inlineStr">
        <is>
          <t>Правила оформления и применения нарядов-допусков при производстве работ в условиях повышенной опасности, приказ МТСЗН РК от 28.08.2020 № 344</t>
        </is>
      </c>
      <c r="C2" s="25" t="inlineStr">
        <is>
          <t>https://adilet.zan.kz/rus/docs/V2000021151</t>
        </is>
      </c>
    </row>
    <row r="3" ht="23.25" customHeight="1" s="17">
      <c r="A3" s="25" t="inlineStr">
        <is>
          <t>№ 355</t>
        </is>
      </c>
      <c r="B3" s="25" t="inlineStr">
        <is>
          <t>Правила обеспечения ПБ для ОПО нефтяной и газовой отраслей, приказ МИР РК от 30.12.2014 № 355 (ред. приказа МЧС от 02.10.2025 № 434)</t>
        </is>
      </c>
      <c r="C3" s="25" t="inlineStr">
        <is>
          <t>https://adilet.zan.kz/rus/docs/V1400010250</t>
        </is>
      </c>
    </row>
    <row r="4" ht="23.25" customHeight="1" s="17">
      <c r="A4" s="25" t="inlineStr">
        <is>
          <t>№ 109</t>
        </is>
      </c>
      <c r="B4" s="25" t="inlineStr">
        <is>
          <t>Правила по обеспечению безопасности и охраны труда при работе на высоте, приказ МТСЗН РК от 31.03.2022 № 109</t>
        </is>
      </c>
      <c r="C4" s="25" t="inlineStr">
        <is>
          <t>https://adilet.zan.kz/rus/docs/V2200027349</t>
        </is>
      </c>
    </row>
    <row r="5" ht="23.25" customHeight="1" s="17">
      <c r="A5" s="25" t="inlineStr">
        <is>
          <t>№ 359</t>
        </is>
      </c>
      <c r="B5" s="25" t="inlineStr">
        <is>
          <t>Правила обеспечения ПБ при эксплуатации грузоподъёмных механизмов, приказ МИР РК от 30.12.2014 № 359</t>
        </is>
      </c>
      <c r="C5" s="25" t="inlineStr">
        <is>
          <t>https://adilet.zan.kz/rus/docs/V1400010332</t>
        </is>
      </c>
    </row>
    <row r="6" ht="15" customHeight="1" s="17">
      <c r="A6" s="25" t="inlineStr">
        <is>
          <t>ППБ № 55</t>
        </is>
      </c>
      <c r="B6" s="25" t="inlineStr">
        <is>
          <t>Правила пожарной безопасности, приказ МЧС РК от 21.02.2022 № 55</t>
        </is>
      </c>
      <c r="C6" s="25" t="inlineStr">
        <is>
          <t>https://adilet.zan.kz/rus/docs/V2200026867</t>
        </is>
      </c>
    </row>
    <row r="7" ht="23.25" customHeight="1" s="17">
      <c r="A7" s="25" t="inlineStr">
        <is>
          <t>V1400010238</t>
        </is>
      </c>
      <c r="B7" s="25" t="inlineStr">
        <is>
          <t>Правила обеспечения ПБ для ОПО по подготовке и переработке газов (используется по аналогии, решение ОМГ)</t>
        </is>
      </c>
      <c r="C7" s="25" t="inlineStr">
        <is>
          <t>https://adilet.zan.kz/rus/docs/V1400010238</t>
        </is>
      </c>
    </row>
    <row r="8" ht="15" customHeight="1" s="17">
      <c r="A8" s="25" t="inlineStr">
        <is>
          <t>СН РК 1.03-05-2011</t>
        </is>
      </c>
      <c r="B8" s="25" t="inlineStr">
        <is>
          <t>Охрана труда и техника безопасности в строительстве (земляные работы — сверить)</t>
        </is>
      </c>
      <c r="C8" s="25" t="inlineStr">
        <is>
          <t>—</t>
        </is>
      </c>
    </row>
  </sheetData>
  <autoFilter ref="A1:C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2026-09-22T04:49:42Z</dcterms:created>
  <dcterms:modified xmlns:dcterms="http://purl.org/dc/terms/" xmlns:xsi="http://www.w3.org/2001/XMLSchema-instance" xsi:type="dcterms:W3CDTF">2026-10-06T19:26:22Z</dcterms:modified>
  <cp:revision>0</cp:revision>
</cp:coreProperties>
</file>